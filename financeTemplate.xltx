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jbyrne/Dropbox/finance/"/>
    </mc:Choice>
  </mc:AlternateContent>
  <xr:revisionPtr revIDLastSave="0" documentId="13_ncr:1_{145B7A88-B91E-874F-84E6-B6606F23F1C5}" xr6:coauthVersionLast="47" xr6:coauthVersionMax="47" xr10:uidLastSave="{00000000-0000-0000-0000-000000000000}"/>
  <bookViews>
    <workbookView xWindow="1380" yWindow="500" windowWidth="27240" windowHeight="16440" activeTab="1" xr2:uid="{535C330D-3385-BC47-B3AB-34923AEE4912}"/>
  </bookViews>
  <sheets>
    <sheet name="Sheet1" sheetId="1" r:id="rId1"/>
    <sheet name="Sheet3" sheetId="3" r:id="rId2"/>
  </sheets>
  <definedNames>
    <definedName name="_xlnm._FilterDatabase" localSheetId="0" hidden="1">Sheet1!$F$1:$F$48</definedName>
    <definedName name="mandatory_2" localSheetId="1">Sheet3!$A$2:$G$19</definedName>
    <definedName name="output" localSheetId="1">Sheet3!$L$2:$R$34</definedName>
    <definedName name="output_4" localSheetId="0">Sheet1!$A$2:$G$34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8" i="3" l="1"/>
  <c r="I29" i="3"/>
  <c r="I30" i="3"/>
  <c r="I31" i="3"/>
  <c r="I32" i="3"/>
  <c r="J32" i="3" s="1"/>
  <c r="I33" i="3"/>
  <c r="J33" i="3" s="1"/>
  <c r="I34" i="3"/>
  <c r="J28" i="3"/>
  <c r="J29" i="3"/>
  <c r="J30" i="3"/>
  <c r="J31" i="3"/>
  <c r="J34" i="3"/>
  <c r="K25" i="3"/>
  <c r="K26" i="3"/>
  <c r="K27" i="3"/>
  <c r="I25" i="3" s="1"/>
  <c r="K28" i="3"/>
  <c r="I27" i="3" s="1"/>
  <c r="K29" i="3"/>
  <c r="K30" i="3"/>
  <c r="K31" i="3"/>
  <c r="K32" i="3"/>
  <c r="K33" i="3"/>
  <c r="K34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" i="3"/>
  <c r="H2" i="3"/>
  <c r="B36" i="3"/>
  <c r="D34" i="3" s="1"/>
  <c r="D35" i="3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O37" i="1"/>
  <c r="O38" i="1"/>
  <c r="O39" i="1"/>
  <c r="O40" i="1"/>
  <c r="O41" i="1"/>
  <c r="O42" i="1"/>
  <c r="O43" i="1"/>
  <c r="O44" i="1"/>
  <c r="O45" i="1"/>
  <c r="O46" i="1"/>
  <c r="O47" i="1"/>
  <c r="O48" i="1"/>
  <c r="N37" i="1"/>
  <c r="N38" i="1"/>
  <c r="N39" i="1"/>
  <c r="N40" i="1"/>
  <c r="N41" i="1"/>
  <c r="N42" i="1"/>
  <c r="N43" i="1"/>
  <c r="N44" i="1"/>
  <c r="N45" i="1"/>
  <c r="N46" i="1"/>
  <c r="N47" i="1"/>
  <c r="N48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I44" i="1"/>
  <c r="I45" i="1"/>
  <c r="I46" i="1"/>
  <c r="I47" i="1"/>
  <c r="I48" i="1"/>
  <c r="I35" i="1"/>
  <c r="I36" i="1"/>
  <c r="I37" i="1"/>
  <c r="I38" i="1"/>
  <c r="I39" i="1"/>
  <c r="I40" i="1"/>
  <c r="I41" i="1"/>
  <c r="I42" i="1"/>
  <c r="I43" i="1"/>
  <c r="C57" i="1"/>
  <c r="O35" i="1"/>
  <c r="O32" i="1"/>
  <c r="O33" i="1"/>
  <c r="O34" i="1"/>
  <c r="O36" i="1"/>
  <c r="I26" i="3" l="1"/>
  <c r="J2" i="3"/>
  <c r="J19" i="3"/>
  <c r="J18" i="3"/>
  <c r="J17" i="3"/>
  <c r="J16" i="3"/>
  <c r="J15" i="3"/>
  <c r="J14" i="3"/>
  <c r="J13" i="3"/>
  <c r="J12" i="3"/>
  <c r="J11" i="3"/>
  <c r="J10" i="3"/>
  <c r="J25" i="3"/>
  <c r="J9" i="3"/>
  <c r="J26" i="3"/>
  <c r="J24" i="3"/>
  <c r="J8" i="3"/>
  <c r="J27" i="3"/>
  <c r="J23" i="3"/>
  <c r="J7" i="3"/>
  <c r="J6" i="3"/>
  <c r="J22" i="3"/>
  <c r="J21" i="3"/>
  <c r="J5" i="3"/>
  <c r="J20" i="3"/>
  <c r="J4" i="3"/>
  <c r="J3" i="3"/>
  <c r="R32" i="1"/>
  <c r="R33" i="1"/>
  <c r="R34" i="1"/>
  <c r="R35" i="1"/>
  <c r="R36" i="1"/>
  <c r="I32" i="1"/>
  <c r="J32" i="1"/>
  <c r="K32" i="1"/>
  <c r="I33" i="1"/>
  <c r="J33" i="1"/>
  <c r="K33" i="1"/>
  <c r="I34" i="1"/>
  <c r="J34" i="1"/>
  <c r="K34" i="1"/>
  <c r="R26" i="1"/>
  <c r="R27" i="1"/>
  <c r="R28" i="1"/>
  <c r="R29" i="1"/>
  <c r="R30" i="1"/>
  <c r="R31" i="1"/>
  <c r="O26" i="1"/>
  <c r="O27" i="1"/>
  <c r="O28" i="1"/>
  <c r="O29" i="1"/>
  <c r="O30" i="1"/>
  <c r="O31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R21" i="1"/>
  <c r="R22" i="1"/>
  <c r="R23" i="1"/>
  <c r="R24" i="1"/>
  <c r="R25" i="1"/>
  <c r="O21" i="1"/>
  <c r="O22" i="1"/>
  <c r="O23" i="1"/>
  <c r="O24" i="1"/>
  <c r="O25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" i="1"/>
  <c r="O20" i="1"/>
  <c r="I20" i="1"/>
  <c r="J20" i="1"/>
  <c r="K20" i="1"/>
  <c r="P22" i="1"/>
  <c r="Q22" i="1" s="1"/>
  <c r="O16" i="1"/>
  <c r="O17" i="1"/>
  <c r="O18" i="1"/>
  <c r="O19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P8" i="1"/>
  <c r="Q8" i="1" s="1"/>
  <c r="I16" i="1"/>
  <c r="J16" i="1"/>
  <c r="K16" i="1"/>
  <c r="I17" i="1"/>
  <c r="J17" i="1"/>
  <c r="K17" i="1"/>
  <c r="I18" i="1"/>
  <c r="J18" i="1"/>
  <c r="K18" i="1"/>
  <c r="I19" i="1"/>
  <c r="J19" i="1"/>
  <c r="K19" i="1"/>
  <c r="P3" i="1"/>
  <c r="Q3" i="1" s="1"/>
  <c r="P4" i="1"/>
  <c r="Q4" i="1" s="1"/>
  <c r="P5" i="1"/>
  <c r="Q5" i="1" s="1"/>
  <c r="P6" i="1"/>
  <c r="Q6" i="1" s="1"/>
  <c r="P7" i="1"/>
  <c r="Q7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2" i="1"/>
  <c r="Q2" i="1" s="1"/>
  <c r="S2" i="1" s="1"/>
  <c r="T2" i="1" s="1"/>
  <c r="J15" i="1"/>
  <c r="K15" i="1"/>
  <c r="N15" i="1"/>
  <c r="O15" i="1"/>
  <c r="I15" i="1"/>
  <c r="T37" i="1"/>
  <c r="S3" i="1" l="1"/>
  <c r="S4" i="1" s="1"/>
  <c r="S5" i="1" s="1"/>
  <c r="S6" i="1" s="1"/>
  <c r="S7" i="1" s="1"/>
  <c r="S8" i="1" s="1"/>
  <c r="S9" i="1" s="1"/>
  <c r="I3" i="1"/>
  <c r="J3" i="1"/>
  <c r="K3" i="1"/>
  <c r="N3" i="1"/>
  <c r="O3" i="1"/>
  <c r="I4" i="1"/>
  <c r="J4" i="1"/>
  <c r="K4" i="1"/>
  <c r="N4" i="1"/>
  <c r="O4" i="1"/>
  <c r="I5" i="1"/>
  <c r="J5" i="1"/>
  <c r="K5" i="1"/>
  <c r="N5" i="1"/>
  <c r="O5" i="1"/>
  <c r="I6" i="1"/>
  <c r="J6" i="1"/>
  <c r="K6" i="1"/>
  <c r="N6" i="1"/>
  <c r="O6" i="1"/>
  <c r="I7" i="1"/>
  <c r="J7" i="1"/>
  <c r="K7" i="1"/>
  <c r="N7" i="1"/>
  <c r="O7" i="1"/>
  <c r="I8" i="1"/>
  <c r="J8" i="1"/>
  <c r="K8" i="1"/>
  <c r="N8" i="1"/>
  <c r="O8" i="1"/>
  <c r="I9" i="1"/>
  <c r="J9" i="1"/>
  <c r="K9" i="1"/>
  <c r="N9" i="1"/>
  <c r="O9" i="1"/>
  <c r="I10" i="1"/>
  <c r="J10" i="1"/>
  <c r="K10" i="1"/>
  <c r="N10" i="1"/>
  <c r="O10" i="1"/>
  <c r="I11" i="1"/>
  <c r="J11" i="1"/>
  <c r="K11" i="1"/>
  <c r="N11" i="1"/>
  <c r="O11" i="1"/>
  <c r="I12" i="1"/>
  <c r="J12" i="1"/>
  <c r="K12" i="1"/>
  <c r="N12" i="1"/>
  <c r="O12" i="1"/>
  <c r="I13" i="1"/>
  <c r="J13" i="1"/>
  <c r="K13" i="1"/>
  <c r="N13" i="1"/>
  <c r="O13" i="1"/>
  <c r="I14" i="1"/>
  <c r="J14" i="1"/>
  <c r="K14" i="1"/>
  <c r="N14" i="1"/>
  <c r="O14" i="1"/>
  <c r="O2" i="1"/>
  <c r="N2" i="1"/>
  <c r="K2" i="1"/>
  <c r="J2" i="1"/>
  <c r="I2" i="1"/>
  <c r="T3" i="1" l="1"/>
  <c r="T4" i="1"/>
  <c r="T7" i="1"/>
  <c r="T8" i="1"/>
  <c r="T5" i="1"/>
  <c r="I57" i="1"/>
  <c r="W41" i="1" s="1"/>
  <c r="V3" i="1" s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T6" i="1"/>
  <c r="S10" i="1"/>
  <c r="T9" i="1"/>
  <c r="O57" i="1"/>
  <c r="S11" i="1" l="1"/>
  <c r="T10" i="1"/>
  <c r="S12" i="1" l="1"/>
  <c r="T11" i="1"/>
  <c r="S13" i="1" l="1"/>
  <c r="T12" i="1"/>
  <c r="S14" i="1" l="1"/>
  <c r="T13" i="1"/>
  <c r="S15" i="1" l="1"/>
  <c r="T14" i="1"/>
  <c r="S16" i="1" l="1"/>
  <c r="T15" i="1"/>
  <c r="S17" i="1" l="1"/>
  <c r="T16" i="1"/>
  <c r="S18" i="1" l="1"/>
  <c r="T17" i="1"/>
  <c r="S19" i="1" l="1"/>
  <c r="T18" i="1"/>
  <c r="S20" i="1" l="1"/>
  <c r="T19" i="1"/>
  <c r="S21" i="1" l="1"/>
  <c r="T20" i="1"/>
  <c r="S22" i="1" l="1"/>
  <c r="T21" i="1"/>
  <c r="S23" i="1" l="1"/>
  <c r="T22" i="1"/>
  <c r="S24" i="1" l="1"/>
  <c r="T23" i="1"/>
  <c r="S25" i="1" l="1"/>
  <c r="T24" i="1"/>
  <c r="S26" i="1" l="1"/>
  <c r="T25" i="1"/>
  <c r="S27" i="1" l="1"/>
  <c r="T26" i="1"/>
  <c r="S28" i="1" l="1"/>
  <c r="T27" i="1"/>
  <c r="S29" i="1" l="1"/>
  <c r="T28" i="1"/>
  <c r="S30" i="1" l="1"/>
  <c r="T29" i="1"/>
  <c r="S31" i="1" l="1"/>
  <c r="T30" i="1"/>
  <c r="S32" i="1" l="1"/>
  <c r="T31" i="1"/>
  <c r="S33" i="1" l="1"/>
  <c r="T32" i="1"/>
  <c r="S34" i="1" l="1"/>
  <c r="T33" i="1"/>
  <c r="S35" i="1" l="1"/>
  <c r="T34" i="1"/>
  <c r="S36" i="1" l="1"/>
  <c r="T36" i="1" s="1"/>
  <c r="T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664E5D-ECE9-1243-8B90-B2BE94E9B4C5}" name="mandatory" type="6" refreshedVersion="7" background="1" saveData="1">
    <textPr codePage="10000" sourceFile="/Users/jbyrne/Dropbox/finance/mandatory.csv" delimiter="|">
      <textFields count="7">
        <textField type="YMD"/>
        <textField/>
        <textField/>
        <textField/>
        <textField/>
        <textField/>
        <textField/>
      </textFields>
    </textPr>
  </connection>
  <connection id="2" xr16:uid="{643B10D2-76ED-704A-8EA2-FC72C90307CC}" name="output" type="6" refreshedVersion="7" background="1" saveData="1">
    <textPr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  <connection id="3" xr16:uid="{2C6A425F-0B7F-AB4E-9E7A-6A03E7FA7E7E}" name="output1" type="6" refreshedVersion="7" background="1" saveData="1">
    <textPr codePage="10000"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<sst xmlns="http://schemas.openxmlformats.org/spreadsheetml/2006/main" count="35" uniqueCount="27">
  <si>
    <t>TX date</t>
  </si>
  <si>
    <t>description</t>
  </si>
  <si>
    <t>amount</t>
  </si>
  <si>
    <t>category</t>
  </si>
  <si>
    <t>xcldfromcshflow</t>
  </si>
  <si>
    <t>Mandatory</t>
  </si>
  <si>
    <t>source</t>
  </si>
  <si>
    <t>balance</t>
  </si>
  <si>
    <t>Mand amount</t>
  </si>
  <si>
    <t>StarOneTXs</t>
  </si>
  <si>
    <t>cc Txs</t>
  </si>
  <si>
    <t>Notes</t>
  </si>
  <si>
    <t>xcludeFromGraph</t>
  </si>
  <si>
    <t>Not Mand</t>
  </si>
  <si>
    <t>Amount</t>
  </si>
  <si>
    <t>Date</t>
  </si>
  <si>
    <t>Cumulative Amount Spent</t>
  </si>
  <si>
    <t>Cumulative Amount Spent +</t>
  </si>
  <si>
    <t>Cash Flow Max</t>
  </si>
  <si>
    <t>expenses only</t>
  </si>
  <si>
    <t>First TX O'mo</t>
  </si>
  <si>
    <t>Day Num</t>
  </si>
  <si>
    <t>cash flow amount</t>
  </si>
  <si>
    <t>addition from savings</t>
  </si>
  <si>
    <t>Constant (within reason Mandatory expenditures)</t>
  </si>
  <si>
    <t>Transactions</t>
  </si>
  <si>
    <t>Mandatory expenses that haven't happened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</si>
</sst>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yyyy\-mm\-dd;@"/>
  </numFmts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Sheet1!$V$1</c:f>
              <c:strCache>
                <c:ptCount val="1"/>
                <c:pt idx="0">
                  <c:v>Amount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88744" dist="147702" dir="5400000" sx="110778" sy="110778" algn="ctr" rotWithShape="0">
                  <a:srgbClr val="000000">
                    <a:alpha val="43137"/>
                  </a:srgbClr>
                </a:outerShdw>
              </a:effectLst>
            </c:spPr>
          </c:dPt>
          <c:xVal>
            <c:numRef>
              <c:f>Sheet1!$U$2:$U$42</c:f>
              <c:numCache>
                <c:formatCode>0.00</c:formatCode>
                <c:ptCount val="17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25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</c:numCache>
            </c:numRef>
          </c:xVal>
          <c:yVal>
            <c:numRef>
              <c:f>Sheet1!$V$2:$V$42</c:f>
              <c:numCache>
                <c:formatCode>General</c:formatCode>
                <c:ptCount val="17"/>
                <c:pt idx="0">
                  <c:v>43.38967741935484</c:v>
                </c:pt>
                <c:pt idx="1">
                  <c:v>216.94838709677418</c:v>
                </c:pt>
                <c:pt idx="2">
                  <c:v>303.72774193548383</c:v>
                </c:pt>
                <c:pt idx="3">
                  <c:v>390.50709677419349</c:v>
                </c:pt>
                <c:pt idx="4">
                  <c:v>564.06580645161284</c:v>
                </c:pt>
                <c:pt idx="5">
                  <c:v>607.45548387096767</c:v>
                </c:pt>
                <c:pt idx="6">
                  <c:v>650.84516129032249</c:v>
                </c:pt>
                <c:pt idx="7">
                  <c:v>694.23483870967732</c:v>
                </c:pt>
                <c:pt idx="8">
                  <c:v>824.4038709677418</c:v>
                </c:pt>
                <c:pt idx="9">
                  <c:v>867.79354838709662</c:v>
                </c:pt>
                <c:pt idx="10">
                  <c:v>911.18322580645145</c:v>
                </c:pt>
                <c:pt idx="11">
                  <c:v>954.57290322580627</c:v>
                </c:pt>
                <c:pt idx="12">
                  <c:v>1041.352258064516</c:v>
                </c:pt>
                <c:pt idx="13">
                  <c:v>1258.3006451612907</c:v>
                </c:pt>
                <c:pt idx="14">
                  <c:v>1301.6903225806457</c:v>
                </c:pt>
                <c:pt idx="15">
                  <c:v>1345.0800000000006</c:v>
                </c:pt>
                <c:pt idx="16">
                  <c:v>1388.4696774193555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2A42-AF13-C2DE4F0DC53C}"/>
            </c:ext>
          </c:extLst>
        </c:ser>
        <c:ser>
          <c:idx val="1"/>
          <c:order val="1"/>
          <c:tx>
            <c:v>Cumulative Amount Spent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Sheet1!$R$2:$R$34</c:f>
              <c:numCache>
                <c:formatCode>General</c:formatCode>
                <c:ptCount val="17"/>
                <c:pt idx="0">
                  <c:v>12</c:v>
                </c:pt>
                <c:pt idx="1">
                  <c:v>14</c:v>
                </c:pt>
                <c:pt idx="2">
                  <c:v>15</c:v>
                </c:pt>
                <c:pt idx="3">
                  <c:v>15</c:v>
                </c:pt>
                <c:pt idx="4">
                  <c:v>22</c:v>
                </c:pt>
                <c:pt idx="5">
                  <c:v>22</c:v>
                </c:pt>
                <c:pt idx="6">
                  <c:v>25</c:v>
                </c:pt>
                <c:pt idx="7">
                  <c:v>25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</c:numCache>
            </c:numRef>
          </c:xVal>
          <c:yVal>
            <c:numRef>
              <c:f>Sheet1!$T$2:$T$34</c:f>
              <c:numCache>
                <c:formatCode>General</c:formatCode>
                <c:ptCount val="17"/>
                <c:pt idx="0">
                  <c:v>59.5</c:v>
                </c:pt>
                <c:pt idx="1">
                  <c:v>111.49</c:v>
                </c:pt>
                <c:pt idx="2">
                  <c:v>186.17000000000002</c:v>
                </c:pt>
                <c:pt idx="3">
                  <c:v>200.01000000000002</c:v>
                </c:pt>
                <c:pt idx="4">
                  <c:v>692.21</c:v>
                </c:pt>
                <c:pt idx="5">
                  <c:v>692.21</c:v>
                </c:pt>
                <c:pt idx="6">
                  <c:v>714.13</c:v>
                </c:pt>
                <c:pt idx="7">
                  <c:v>781.77</c:v>
                </c:pt>
                <c:pt idx="8">
                  <c:v>823.5</c:v>
                </c:pt>
                <c:pt idx="9">
                  <c:v>868.5</c:v>
                </c:pt>
                <c:pt idx="10">
                  <c:v>918.5</c:v>
                </c:pt>
                <c:pt idx="11">
                  <c:v>973.49</c:v>
                </c:pt>
                <c:pt idx="12">
                  <c:v>1018.48</c:v>
                </c:pt>
                <c:pt idx="13">
                  <c:v>1122.97</c:v>
                </c:pt>
                <c:pt idx="14">
                  <c:v>1147.1600000000001</c:v>
                </c:pt>
                <c:pt idx="15">
                  <c:v>1388.5700000000002</c:v>
                </c:pt>
                <c:pt idx="16">
                  <c:v>1448.3100000000002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81-2A42-AF13-C2DE4F0D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436799"/>
        <c:axId val="593438447"/>
      </c:scatterChart>
      <c:valAx>
        <c:axId val="59343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8447"/>
        <c:crosses val="autoZero"/>
        <c:crossBetween val="midCat"/>
      </c:valAx>
      <c:valAx>
        <c:axId val="59343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6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1222794</xdr:colOff>
      <xdr:row>65</xdr:row>
      <xdr:rowOff>123406</xdr:rowOff>
    </xdr:from>
    <xdr:to>
      <xdr:col>11</xdr:col>
      <xdr:colOff>54394</xdr:colOff>
      <xdr:row>97</xdr:row>
      <xdr:rowOff>161506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C5D675-B707-6AF8-F0F5-DBA449E8E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_4" growShrinkType="overwriteClear" connectionId="2" xr16:uid="{6ADFBCD1-8524-FF4A-9AB7-AEE950DFD86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" growShrinkType="overwriteClear" connectionId="3" xr16:uid="{D115B247-03E6-5145-A235-3D601E7B997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ndatory_2" growShrinkType="overwriteClear" connectionId="1" xr16:uid="{AB9DC448-5F4D-BD40-B25D-E90A9ED7921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9A78-87C1-CC47-9F5F-8D11457D5A7A}">
  <sheetPr filterMode="1"/>
  <dimension ref="A1:Y57"/>
  <sheetViews>
    <sheetView zoomScale="106" zoomScaleNormal="172" workbookViewId="0">
      <pane ySplit="1" topLeftCell="A81" activePane="bottomLeft" state="frozen"/>
      <selection pane="bottomLeft" sqref="A1:G34"/>
    </sheetView>
  </sheetViews>
  <sheetFormatPr baseColWidth="10" defaultRowHeight="16" x14ac:dyDescent="0.2"/>
  <cols>
    <col min="1" max="1" width="12.5" style="3" bestFit="1" customWidth="1"/>
    <col min="2" max="2" width="61.5" bestFit="1" customWidth="1"/>
    <col min="3" max="3" width="9.5" bestFit="1" customWidth="1"/>
    <col min="4" max="4" width="28.5" bestFit="1" customWidth="1"/>
    <col min="5" max="5" width="2" bestFit="1" customWidth="1"/>
    <col min="6" max="6" width="2.83203125" bestFit="1" customWidth="1"/>
    <col min="7" max="7" width="18.1640625" bestFit="1" customWidth="1"/>
    <col min="18" max="18" width="9.33203125" bestFit="1" customWidth="1"/>
    <col min="19" max="19" width="11.1640625" customWidth="1"/>
    <col min="20" max="20" width="12" customWidth="1"/>
    <col min="21" max="21" width="10.83203125" style="4"/>
  </cols>
  <sheetData>
    <row r="1" spans="1:25" x14ac:dyDescent="0.2">
      <c r="A1" s="3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s="2" t="s">
        <v>6</v>
      </c>
      <c r="H1" s="1" t="s">
        <v>7</v>
      </c>
      <c r="I1" t="s">
        <v>8</v>
      </c>
      <c r="J1" t="s">
        <v>9</v>
      </c>
      <c r="K1" t="s">
        <v>10</v>
      </c>
      <c r="M1" t="s">
        <v>11</v>
      </c>
      <c r="N1" t="s">
        <v>12</v>
      </c>
      <c r="O1" t="s">
        <v>13</v>
      </c>
      <c r="P1" t="s">
        <v>19</v>
      </c>
      <c r="Q1" t="s">
        <v>14</v>
      </c>
      <c r="R1" t="s">
        <v>21</v>
      </c>
      <c r="S1" t="s">
        <v>16</v>
      </c>
      <c r="T1" t="s">
        <v>17</v>
      </c>
      <c r="U1" s="4" t="s">
        <v>15</v>
      </c>
      <c r="V1" t="s">
        <v>14</v>
      </c>
      <c r="X1" t="s">
        <v>20</v>
      </c>
      <c r="Y1" s="3">
        <v>44661</v>
      </c>
    </row>
    <row r="2" spans="1:25" hidden="1" x14ac:dyDescent="0.2">
      <c r="A2" s="5"/>
      <c r="B2"/>
      <c r="C2"/>
      <c r="D2"/>
      <c r="G2"/>
      <c r="I2">
        <f t="shared" ref="I2" si="0">IF(EXACT(F2,"M"),C2,0)</f>
        <v>0</v>
      </c>
      <c r="J2">
        <f t="shared" ref="J2" si="1">IF(EXACT(G2,"CheckingStarOneTXs"),C2,0)</f>
        <v>0</v>
      </c>
      <c r="K2">
        <f t="shared" ref="K2" si="2">IF(AND(C2&lt;0,EXACT(G2,"VisaChaseTXs")),C2,0)</f>
        <v>-47</v>
      </c>
      <c r="N2" t="b">
        <f>AND(IF(G2="VisaChaseTXs",TRUE,FALSE),D2="Chase CC Payment")</f>
        <v>0</v>
      </c>
      <c r="O2">
        <f>IF(EXACT(F2,""),C2,0)</f>
        <v>-47</v>
      </c>
      <c r="P2">
        <f>IF(AND(IF(C2&lt;0,C2,FALSE),E2&lt;&gt;"y"),C2,0)</f>
        <v>-47</v>
      </c>
      <c r="Q2">
        <f>P2</f>
        <v>-47</v>
      </c>
      <c r="R2" s="6">
        <f>ABS($Y$1-A2)+10</f>
        <v>11</v>
      </c>
      <c r="S2">
        <f>Q2</f>
        <v>-47</v>
      </c>
      <c r="T2">
        <f>ABS(S2)</f>
        <v>47</v>
      </c>
      <c r="U2" s="4">
        <v>1</v>
      </c>
      <c r="V2">
        <v>0</v>
      </c>
    </row>
    <row r="3" spans="1:25" x14ac:dyDescent="0.2">
      <c r="A3" s="5"/>
      <c r="B3"/>
      <c r="C3"/>
      <c r="D3"/>
      <c r="F3"/>
      <c r="G3"/>
      <c r="I3">
        <f t="shared" ref="I3:I15" si="3">IF(EXACT(F3,"M"),C3,0)</f>
        <v>-12.5</v>
      </c>
      <c r="J3">
        <f t="shared" ref="J3:J14" si="4">IF(EXACT(G3,"CheckingStarOneTXs"),C3,0)</f>
        <v>0</v>
      </c>
      <c r="K3">
        <f t="shared" ref="K3:K14" si="5">IF(AND(C3&lt;0,EXACT(G3,"VisaChaseTXs")),C3,0)</f>
        <v>-12.5</v>
      </c>
      <c r="N3" t="b">
        <f t="shared" ref="N3:N14" si="6">AND(IF(G3="VisaChaseTXs",TRUE,FALSE),D3="Chase CC Payment")</f>
        <v>0</v>
      </c>
      <c r="O3">
        <f t="shared" ref="O3:O14" si="7">IF(EXACT(F3,""),C3,0)</f>
        <v>0</v>
      </c>
      <c r="P3">
        <f t="shared" ref="P3:P36" si="8">IF(AND(IF(C3&lt;0,C3,FALSE),E3&lt;&gt;"y"),C3,0)</f>
        <v>-12.5</v>
      </c>
      <c r="Q3">
        <f t="shared" ref="Q3:Q36" si="9">P3</f>
        <v>-12.5</v>
      </c>
      <c r="R3" s="6">
        <f t="shared" ref="R3:R36" si="10">ABS($Y$1-A3)+10</f>
        <v>12</v>
      </c>
      <c r="S3">
        <f t="shared" ref="S3:S36" si="11">S2+Q3</f>
        <v>-59.5</v>
      </c>
      <c r="T3">
        <f t="shared" ref="T3:T37" si="12">ABS(S3)</f>
        <v>59.5</v>
      </c>
      <c r="U3" s="4">
        <v>2</v>
      </c>
      <c r="V3">
        <f t="shared" ref="V3:V38" si="13">$W$41/31+V2</f>
        <v>43.38967741935484</v>
      </c>
    </row>
    <row r="4" spans="1:25" hidden="1" x14ac:dyDescent="0.2">
      <c r="A4" s="5"/>
      <c r="B4"/>
      <c r="C4"/>
      <c r="D4"/>
      <c r="E4"/>
      <c r="G4"/>
      <c r="I4">
        <f t="shared" si="3"/>
        <v>0</v>
      </c>
      <c r="J4">
        <f t="shared" si="4"/>
        <v>0</v>
      </c>
      <c r="K4">
        <f t="shared" si="5"/>
        <v>0</v>
      </c>
      <c r="N4" t="b">
        <f t="shared" si="6"/>
        <v>1</v>
      </c>
      <c r="O4">
        <f t="shared" si="7"/>
        <v>560.05999999999995</v>
      </c>
      <c r="P4">
        <f t="shared" si="8"/>
        <v>0</v>
      </c>
      <c r="Q4">
        <f t="shared" si="9"/>
        <v>0</v>
      </c>
      <c r="R4" s="6">
        <f t="shared" si="10"/>
        <v>12</v>
      </c>
      <c r="S4">
        <f t="shared" si="11"/>
        <v>-59.5</v>
      </c>
      <c r="T4">
        <f t="shared" si="12"/>
        <v>59.5</v>
      </c>
      <c r="U4" s="4">
        <v>3</v>
      </c>
      <c r="V4">
        <f t="shared" si="13"/>
        <v>86.779354838709679</v>
      </c>
    </row>
    <row r="5" spans="1:25" hidden="1" x14ac:dyDescent="0.2">
      <c r="A5" s="5"/>
      <c r="B5"/>
      <c r="C5"/>
      <c r="D5"/>
      <c r="E5"/>
      <c r="G5"/>
      <c r="I5">
        <f t="shared" si="3"/>
        <v>0</v>
      </c>
      <c r="J5">
        <f t="shared" si="4"/>
        <v>-560.05999999999995</v>
      </c>
      <c r="K5">
        <f t="shared" si="5"/>
        <v>0</v>
      </c>
      <c r="N5" t="b">
        <f t="shared" si="6"/>
        <v>0</v>
      </c>
      <c r="O5">
        <f t="shared" si="7"/>
        <v>-560.05999999999995</v>
      </c>
      <c r="P5">
        <f t="shared" si="8"/>
        <v>0</v>
      </c>
      <c r="Q5">
        <f t="shared" si="9"/>
        <v>0</v>
      </c>
      <c r="R5" s="6">
        <f t="shared" si="10"/>
        <v>13</v>
      </c>
      <c r="S5">
        <f t="shared" si="11"/>
        <v>-59.5</v>
      </c>
      <c r="T5">
        <f t="shared" si="12"/>
        <v>59.5</v>
      </c>
      <c r="U5" s="4">
        <v>4</v>
      </c>
      <c r="V5">
        <f t="shared" si="13"/>
        <v>130.16903225806453</v>
      </c>
    </row>
    <row r="6" spans="1:25" hidden="1" x14ac:dyDescent="0.2">
      <c r="A6" s="5"/>
      <c r="B6"/>
      <c r="C6"/>
      <c r="D6"/>
      <c r="G6"/>
      <c r="I6">
        <f t="shared" si="3"/>
        <v>0</v>
      </c>
      <c r="J6">
        <f t="shared" si="4"/>
        <v>0</v>
      </c>
      <c r="K6">
        <f t="shared" si="5"/>
        <v>-40</v>
      </c>
      <c r="N6" t="b">
        <f t="shared" si="6"/>
        <v>0</v>
      </c>
      <c r="O6">
        <f t="shared" si="7"/>
        <v>-40</v>
      </c>
      <c r="P6">
        <f t="shared" si="8"/>
        <v>-40</v>
      </c>
      <c r="Q6">
        <f t="shared" si="9"/>
        <v>-40</v>
      </c>
      <c r="R6" s="6">
        <f t="shared" si="10"/>
        <v>13</v>
      </c>
      <c r="S6">
        <f t="shared" si="11"/>
        <v>-99.5</v>
      </c>
      <c r="T6">
        <f t="shared" si="12"/>
        <v>99.5</v>
      </c>
      <c r="U6" s="4">
        <v>5</v>
      </c>
      <c r="V6">
        <f t="shared" si="13"/>
        <v>173.55870967741936</v>
      </c>
    </row>
    <row r="7" spans="1:25" x14ac:dyDescent="0.2">
      <c r="A7" s="5"/>
      <c r="B7"/>
      <c r="C7"/>
      <c r="D7"/>
      <c r="F7"/>
      <c r="G7"/>
      <c r="I7">
        <f t="shared" si="3"/>
        <v>-11.99</v>
      </c>
      <c r="J7">
        <f t="shared" si="4"/>
        <v>0</v>
      </c>
      <c r="K7">
        <f t="shared" si="5"/>
        <v>-11.99</v>
      </c>
      <c r="N7" t="b">
        <f t="shared" si="6"/>
        <v>0</v>
      </c>
      <c r="O7">
        <f t="shared" si="7"/>
        <v>0</v>
      </c>
      <c r="P7">
        <f t="shared" si="8"/>
        <v>-11.99</v>
      </c>
      <c r="Q7">
        <f t="shared" si="9"/>
        <v>-11.99</v>
      </c>
      <c r="R7" s="6">
        <f t="shared" si="10"/>
        <v>14</v>
      </c>
      <c r="S7">
        <f t="shared" si="11"/>
        <v>-111.49</v>
      </c>
      <c r="T7">
        <f t="shared" si="12"/>
        <v>111.49</v>
      </c>
      <c r="U7" s="4">
        <v>6</v>
      </c>
      <c r="V7">
        <f t="shared" si="13"/>
        <v>216.94838709677418</v>
      </c>
    </row>
    <row r="8" spans="1:25" hidden="1" x14ac:dyDescent="0.2">
      <c r="A8" s="5"/>
      <c r="B8"/>
      <c r="C8"/>
      <c r="E8"/>
      <c r="G8"/>
      <c r="I8">
        <f t="shared" si="3"/>
        <v>0</v>
      </c>
      <c r="J8">
        <f t="shared" si="4"/>
        <v>2015.68</v>
      </c>
      <c r="K8">
        <f t="shared" si="5"/>
        <v>0</v>
      </c>
      <c r="N8" t="b">
        <f t="shared" si="6"/>
        <v>0</v>
      </c>
      <c r="O8">
        <f t="shared" si="7"/>
        <v>2015.68</v>
      </c>
      <c r="P8">
        <f>IF(AND(IF(C8&lt;0,C8,FALSE),E8&lt;&gt;"y"),C8,0)</f>
        <v>0</v>
      </c>
      <c r="Q8">
        <f t="shared" si="9"/>
        <v>0</v>
      </c>
      <c r="R8" s="6">
        <f t="shared" si="10"/>
        <v>14</v>
      </c>
      <c r="S8">
        <f t="shared" si="11"/>
        <v>-111.49</v>
      </c>
      <c r="T8">
        <f t="shared" si="12"/>
        <v>111.49</v>
      </c>
      <c r="U8" s="4">
        <v>7</v>
      </c>
      <c r="V8">
        <f t="shared" si="13"/>
        <v>260.33806451612901</v>
      </c>
    </row>
    <row r="9" spans="1:25" x14ac:dyDescent="0.2">
      <c r="A9" s="5"/>
      <c r="B9"/>
      <c r="C9"/>
      <c r="D9"/>
      <c r="F9"/>
      <c r="G9"/>
      <c r="I9">
        <f t="shared" si="3"/>
        <v>-74.680000000000007</v>
      </c>
      <c r="J9">
        <f t="shared" si="4"/>
        <v>-74.680000000000007</v>
      </c>
      <c r="K9">
        <f t="shared" si="5"/>
        <v>0</v>
      </c>
      <c r="N9" t="b">
        <f t="shared" si="6"/>
        <v>0</v>
      </c>
      <c r="O9">
        <f t="shared" si="7"/>
        <v>0</v>
      </c>
      <c r="P9">
        <f t="shared" si="8"/>
        <v>-74.680000000000007</v>
      </c>
      <c r="Q9">
        <f t="shared" si="9"/>
        <v>-74.680000000000007</v>
      </c>
      <c r="R9" s="6">
        <f t="shared" si="10"/>
        <v>15</v>
      </c>
      <c r="S9">
        <f t="shared" si="11"/>
        <v>-186.17000000000002</v>
      </c>
      <c r="T9">
        <f t="shared" si="12"/>
        <v>186.17000000000002</v>
      </c>
      <c r="U9" s="4">
        <v>8</v>
      </c>
      <c r="V9">
        <f t="shared" si="13"/>
        <v>303.72774193548383</v>
      </c>
    </row>
    <row r="10" spans="1:25" hidden="1" x14ac:dyDescent="0.2">
      <c r="A10" s="5"/>
      <c r="B10"/>
      <c r="C10"/>
      <c r="E10"/>
      <c r="G10"/>
      <c r="I10">
        <f t="shared" si="3"/>
        <v>0</v>
      </c>
      <c r="J10">
        <f t="shared" si="4"/>
        <v>-2015.68</v>
      </c>
      <c r="K10">
        <f t="shared" si="5"/>
        <v>0</v>
      </c>
      <c r="N10" t="b">
        <f t="shared" si="6"/>
        <v>0</v>
      </c>
      <c r="O10">
        <f t="shared" si="7"/>
        <v>-2015.68</v>
      </c>
      <c r="P10">
        <f t="shared" si="8"/>
        <v>0</v>
      </c>
      <c r="Q10">
        <f t="shared" si="9"/>
        <v>0</v>
      </c>
      <c r="R10" s="6">
        <f t="shared" si="10"/>
        <v>15</v>
      </c>
      <c r="S10">
        <f t="shared" si="11"/>
        <v>-186.17000000000002</v>
      </c>
      <c r="T10">
        <f t="shared" si="12"/>
        <v>186.17000000000002</v>
      </c>
      <c r="U10" s="4">
        <v>9</v>
      </c>
      <c r="V10">
        <f t="shared" si="13"/>
        <v>347.11741935483866</v>
      </c>
    </row>
    <row r="11" spans="1:25" x14ac:dyDescent="0.2">
      <c r="A11" s="5"/>
      <c r="B11"/>
      <c r="C11"/>
      <c r="D11"/>
      <c r="F11"/>
      <c r="G11"/>
      <c r="I11">
        <f t="shared" si="3"/>
        <v>-13.84</v>
      </c>
      <c r="J11">
        <f t="shared" si="4"/>
        <v>0</v>
      </c>
      <c r="K11">
        <f t="shared" si="5"/>
        <v>-13.84</v>
      </c>
      <c r="N11" t="b">
        <f t="shared" si="6"/>
        <v>0</v>
      </c>
      <c r="O11">
        <f t="shared" si="7"/>
        <v>0</v>
      </c>
      <c r="P11">
        <f t="shared" si="8"/>
        <v>-13.84</v>
      </c>
      <c r="Q11">
        <f t="shared" si="9"/>
        <v>-13.84</v>
      </c>
      <c r="R11" s="6">
        <f t="shared" si="10"/>
        <v>15</v>
      </c>
      <c r="S11">
        <f t="shared" si="11"/>
        <v>-200.01000000000002</v>
      </c>
      <c r="T11">
        <f t="shared" si="12"/>
        <v>200.01000000000002</v>
      </c>
      <c r="U11" s="4">
        <v>10</v>
      </c>
      <c r="V11">
        <f t="shared" si="13"/>
        <v>390.50709677419349</v>
      </c>
    </row>
    <row r="12" spans="1:25" hidden="1" x14ac:dyDescent="0.2">
      <c r="A12" s="5"/>
      <c r="B12"/>
      <c r="C12"/>
      <c r="D12"/>
      <c r="G12"/>
      <c r="I12">
        <f t="shared" si="3"/>
        <v>0</v>
      </c>
      <c r="J12">
        <f t="shared" si="4"/>
        <v>0</v>
      </c>
      <c r="K12">
        <f t="shared" si="5"/>
        <v>-2.79</v>
      </c>
      <c r="N12" t="b">
        <f t="shared" si="6"/>
        <v>0</v>
      </c>
      <c r="O12">
        <f t="shared" si="7"/>
        <v>-2.79</v>
      </c>
      <c r="P12">
        <f t="shared" si="8"/>
        <v>-2.79</v>
      </c>
      <c r="Q12">
        <f t="shared" si="9"/>
        <v>-2.79</v>
      </c>
      <c r="R12" s="6">
        <f t="shared" si="10"/>
        <v>17</v>
      </c>
      <c r="S12">
        <f t="shared" si="11"/>
        <v>-202.8</v>
      </c>
      <c r="T12">
        <f t="shared" si="12"/>
        <v>202.8</v>
      </c>
      <c r="U12" s="4">
        <v>11</v>
      </c>
      <c r="V12">
        <f t="shared" si="13"/>
        <v>433.89677419354831</v>
      </c>
    </row>
    <row r="13" spans="1:25" hidden="1" x14ac:dyDescent="0.2">
      <c r="A13" s="5"/>
      <c r="B13"/>
      <c r="C13"/>
      <c r="D13"/>
      <c r="G13"/>
      <c r="I13">
        <f t="shared" si="3"/>
        <v>0</v>
      </c>
      <c r="J13">
        <f t="shared" si="4"/>
        <v>0</v>
      </c>
      <c r="K13">
        <f t="shared" si="5"/>
        <v>-131.36000000000001</v>
      </c>
      <c r="N13" t="b">
        <f t="shared" si="6"/>
        <v>0</v>
      </c>
      <c r="O13">
        <f t="shared" si="7"/>
        <v>-131.36000000000001</v>
      </c>
      <c r="P13">
        <f t="shared" si="8"/>
        <v>-131.36000000000001</v>
      </c>
      <c r="Q13">
        <f t="shared" si="9"/>
        <v>-131.36000000000001</v>
      </c>
      <c r="R13" s="6">
        <f t="shared" si="10"/>
        <v>18</v>
      </c>
      <c r="S13">
        <f t="shared" si="11"/>
        <v>-334.16</v>
      </c>
      <c r="T13">
        <f t="shared" si="12"/>
        <v>334.16</v>
      </c>
      <c r="U13" s="4">
        <v>12</v>
      </c>
      <c r="V13">
        <f t="shared" si="13"/>
        <v>477.28645161290314</v>
      </c>
    </row>
    <row r="14" spans="1:25" hidden="1" x14ac:dyDescent="0.2">
      <c r="A14" s="5"/>
      <c r="B14"/>
      <c r="C14"/>
      <c r="D14"/>
      <c r="G14"/>
      <c r="I14">
        <f t="shared" si="3"/>
        <v>0</v>
      </c>
      <c r="J14">
        <f t="shared" si="4"/>
        <v>0</v>
      </c>
      <c r="K14">
        <f t="shared" si="5"/>
        <v>-60.71</v>
      </c>
      <c r="N14" t="b">
        <f t="shared" si="6"/>
        <v>0</v>
      </c>
      <c r="O14">
        <f t="shared" si="7"/>
        <v>-60.71</v>
      </c>
      <c r="P14">
        <f t="shared" si="8"/>
        <v>-60.71</v>
      </c>
      <c r="Q14">
        <f t="shared" si="9"/>
        <v>-60.71</v>
      </c>
      <c r="R14" s="6">
        <f t="shared" si="10"/>
        <v>19</v>
      </c>
      <c r="S14">
        <f t="shared" si="11"/>
        <v>-394.87</v>
      </c>
      <c r="T14">
        <f t="shared" si="12"/>
        <v>394.87</v>
      </c>
      <c r="U14" s="4">
        <v>13</v>
      </c>
      <c r="V14">
        <f t="shared" si="13"/>
        <v>520.67612903225802</v>
      </c>
    </row>
    <row r="15" spans="1:25" x14ac:dyDescent="0.2">
      <c r="A15" s="5"/>
      <c r="B15"/>
      <c r="C15"/>
      <c r="D15"/>
      <c r="F15"/>
      <c r="G15"/>
      <c r="I15">
        <f t="shared" si="3"/>
        <v>-297.33999999999997</v>
      </c>
      <c r="J15">
        <f t="shared" ref="J15" si="14">IF(EXACT(G15,"CheckingStarOneTXs"),C15,0)</f>
        <v>-297.33999999999997</v>
      </c>
      <c r="K15">
        <f t="shared" ref="K15" si="15">IF(AND(C15&lt;0,EXACT(G15,"VisaChaseTXs")),C15,0)</f>
        <v>0</v>
      </c>
      <c r="N15" t="b">
        <f t="shared" ref="N15:N48" si="16">AND(IF(G15="VisaChaseTXs",TRUE,FALSE),D15="Chase CC Payment")</f>
        <v>0</v>
      </c>
      <c r="O15">
        <f t="shared" ref="O15" si="17">IF(EXACT(F15,""),C15,0)</f>
        <v>0</v>
      </c>
      <c r="P15">
        <f t="shared" si="8"/>
        <v>-297.33999999999997</v>
      </c>
      <c r="Q15">
        <f t="shared" si="9"/>
        <v>-297.33999999999997</v>
      </c>
      <c r="R15" s="6">
        <f t="shared" si="10"/>
        <v>22</v>
      </c>
      <c r="S15">
        <f t="shared" si="11"/>
        <v>-692.21</v>
      </c>
      <c r="T15">
        <f t="shared" si="12"/>
        <v>692.21</v>
      </c>
      <c r="U15" s="4">
        <v>14</v>
      </c>
      <c r="V15">
        <f t="shared" si="13"/>
        <v>564.06580645161284</v>
      </c>
    </row>
    <row r="16" spans="1:25" x14ac:dyDescent="0.2">
      <c r="A16" s="5"/>
      <c r="B16"/>
      <c r="C16"/>
      <c r="D16"/>
      <c r="F16"/>
      <c r="G16"/>
      <c r="I16">
        <f t="shared" ref="I16:I19" si="18">IF(EXACT(F16,"M"),C16,0)</f>
        <v>2378.3000000000002</v>
      </c>
      <c r="J16">
        <f t="shared" ref="J16:J19" si="19">IF(EXACT(G16,"CheckingStarOneTXs"),C16,0)</f>
        <v>2378.3000000000002</v>
      </c>
      <c r="K16">
        <f t="shared" ref="K16:K19" si="20">IF(AND(C16&lt;0,EXACT(G16,"VisaChaseTXs")),C16,0)</f>
        <v>0</v>
      </c>
      <c r="N16" t="b">
        <f t="shared" si="16"/>
        <v>0</v>
      </c>
      <c r="O16">
        <f>IF(EXACT(F16,""),C16,0)</f>
        <v>0</v>
      </c>
      <c r="P16">
        <f t="shared" si="8"/>
        <v>0</v>
      </c>
      <c r="Q16">
        <f t="shared" si="9"/>
        <v>0</v>
      </c>
      <c r="R16" s="6">
        <f t="shared" si="10"/>
        <v>22</v>
      </c>
      <c r="S16">
        <f t="shared" si="11"/>
        <v>-692.21</v>
      </c>
      <c r="T16">
        <f t="shared" si="12"/>
        <v>692.21</v>
      </c>
      <c r="U16" s="4">
        <v>15</v>
      </c>
      <c r="V16">
        <f t="shared" si="13"/>
        <v>607.45548387096767</v>
      </c>
    </row>
    <row r="17" spans="1:22" x14ac:dyDescent="0.2">
      <c r="A17" s="5"/>
      <c r="B17"/>
      <c r="C17"/>
      <c r="D17"/>
      <c r="F17"/>
      <c r="G17"/>
      <c r="I17">
        <f t="shared" si="18"/>
        <v>-21.92</v>
      </c>
      <c r="J17">
        <f t="shared" si="19"/>
        <v>-21.92</v>
      </c>
      <c r="K17">
        <f t="shared" si="20"/>
        <v>0</v>
      </c>
      <c r="N17" t="b">
        <f t="shared" si="16"/>
        <v>0</v>
      </c>
      <c r="O17">
        <f t="shared" ref="O17:O48" si="21">IF(EXACT(F17,""),C17,0)</f>
        <v>0</v>
      </c>
      <c r="P17">
        <f t="shared" si="8"/>
        <v>-21.92</v>
      </c>
      <c r="Q17">
        <f t="shared" si="9"/>
        <v>-21.92</v>
      </c>
      <c r="R17" s="6">
        <f t="shared" si="10"/>
        <v>25</v>
      </c>
      <c r="S17">
        <f t="shared" si="11"/>
        <v>-714.13</v>
      </c>
      <c r="T17">
        <f t="shared" si="12"/>
        <v>714.13</v>
      </c>
      <c r="U17" s="4">
        <v>16</v>
      </c>
      <c r="V17">
        <f t="shared" si="13"/>
        <v>650.84516129032249</v>
      </c>
    </row>
    <row r="18" spans="1:22" x14ac:dyDescent="0.2">
      <c r="A18" s="5"/>
      <c r="B18"/>
      <c r="C18"/>
      <c r="D18"/>
      <c r="F18"/>
      <c r="G18"/>
      <c r="I18">
        <f t="shared" si="18"/>
        <v>-67.64</v>
      </c>
      <c r="J18">
        <f t="shared" si="19"/>
        <v>0</v>
      </c>
      <c r="K18">
        <f t="shared" si="20"/>
        <v>-67.64</v>
      </c>
      <c r="N18" t="b">
        <f t="shared" si="16"/>
        <v>0</v>
      </c>
      <c r="O18">
        <f t="shared" si="21"/>
        <v>0</v>
      </c>
      <c r="P18">
        <f t="shared" si="8"/>
        <v>-67.64</v>
      </c>
      <c r="Q18">
        <f t="shared" si="9"/>
        <v>-67.64</v>
      </c>
      <c r="R18" s="6">
        <f t="shared" si="10"/>
        <v>25</v>
      </c>
      <c r="S18">
        <f t="shared" si="11"/>
        <v>-781.77</v>
      </c>
      <c r="T18">
        <f t="shared" si="12"/>
        <v>781.77</v>
      </c>
      <c r="U18" s="4">
        <v>17</v>
      </c>
      <c r="V18">
        <f t="shared" si="13"/>
        <v>694.23483870967732</v>
      </c>
    </row>
    <row r="19" spans="1:22" hidden="1" x14ac:dyDescent="0.2">
      <c r="A19" s="5"/>
      <c r="B19"/>
      <c r="C19"/>
      <c r="D19"/>
      <c r="G19"/>
      <c r="I19">
        <f t="shared" si="18"/>
        <v>0</v>
      </c>
      <c r="J19">
        <f t="shared" si="19"/>
        <v>0</v>
      </c>
      <c r="K19">
        <f t="shared" si="20"/>
        <v>-7</v>
      </c>
      <c r="N19" t="b">
        <f t="shared" si="16"/>
        <v>0</v>
      </c>
      <c r="O19">
        <f t="shared" si="21"/>
        <v>-7</v>
      </c>
      <c r="P19">
        <f t="shared" si="8"/>
        <v>-7</v>
      </c>
      <c r="Q19">
        <f t="shared" si="9"/>
        <v>-7</v>
      </c>
      <c r="R19" s="6">
        <f t="shared" si="10"/>
        <v>26</v>
      </c>
      <c r="S19">
        <f t="shared" si="11"/>
        <v>-788.77</v>
      </c>
      <c r="T19">
        <f t="shared" si="12"/>
        <v>788.77</v>
      </c>
      <c r="U19" s="4">
        <v>18</v>
      </c>
      <c r="V19">
        <f t="shared" si="13"/>
        <v>737.62451612903214</v>
      </c>
    </row>
    <row r="20" spans="1:22" hidden="1" x14ac:dyDescent="0.2">
      <c r="A20" s="5"/>
      <c r="B20"/>
      <c r="C20"/>
      <c r="D20"/>
      <c r="G20"/>
      <c r="I20">
        <f t="shared" ref="I20" si="22">IF(EXACT(F20,"M"),C20,0)</f>
        <v>0</v>
      </c>
      <c r="J20">
        <f t="shared" ref="J20" si="23">IF(EXACT(G20,"CheckingStarOneTXs"),C20,0)</f>
        <v>0</v>
      </c>
      <c r="K20">
        <f t="shared" ref="K20" si="24">IF(AND(C20&lt;0,EXACT(G20,"VisaChaseTXs")),C20,0)</f>
        <v>-31.74</v>
      </c>
      <c r="N20" t="b">
        <f t="shared" si="16"/>
        <v>0</v>
      </c>
      <c r="O20">
        <f t="shared" si="21"/>
        <v>-31.74</v>
      </c>
      <c r="P20">
        <f t="shared" si="8"/>
        <v>-31.74</v>
      </c>
      <c r="Q20">
        <f t="shared" si="9"/>
        <v>-31.74</v>
      </c>
      <c r="R20" s="6">
        <f t="shared" si="10"/>
        <v>26</v>
      </c>
      <c r="S20">
        <f t="shared" si="11"/>
        <v>-820.51</v>
      </c>
      <c r="T20">
        <f t="shared" si="12"/>
        <v>820.51</v>
      </c>
      <c r="U20" s="4">
        <v>19</v>
      </c>
      <c r="V20">
        <f t="shared" si="13"/>
        <v>781.01419354838697</v>
      </c>
    </row>
    <row r="21" spans="1:22" x14ac:dyDescent="0.2">
      <c r="A21" s="5"/>
      <c r="B21"/>
      <c r="C21"/>
      <c r="D21"/>
      <c r="F21"/>
      <c r="G21"/>
      <c r="I21">
        <f t="shared" ref="I21:I25" si="25">IF(EXACT(F21,"M"),C21,0)</f>
        <v>-2.99</v>
      </c>
      <c r="J21">
        <f t="shared" ref="J21:J25" si="26">IF(EXACT(G21,"CheckingStarOneTXs"),C21,0)</f>
        <v>0</v>
      </c>
      <c r="K21">
        <f t="shared" ref="K21:K25" si="27">IF(AND(C21&lt;0,EXACT(G21,"VisaChaseTXs")),C21,0)</f>
        <v>-2.99</v>
      </c>
      <c r="N21" t="b">
        <f t="shared" si="16"/>
        <v>0</v>
      </c>
      <c r="O21">
        <f t="shared" si="21"/>
        <v>0</v>
      </c>
      <c r="P21">
        <f t="shared" si="8"/>
        <v>-2.99</v>
      </c>
      <c r="Q21">
        <f t="shared" si="9"/>
        <v>-2.99</v>
      </c>
      <c r="R21" s="6">
        <f t="shared" si="10"/>
        <v>27</v>
      </c>
      <c r="S21">
        <f t="shared" si="11"/>
        <v>-823.5</v>
      </c>
      <c r="T21">
        <f t="shared" si="12"/>
        <v>823.5</v>
      </c>
      <c r="U21" s="4">
        <v>20</v>
      </c>
      <c r="V21">
        <f t="shared" si="13"/>
        <v>824.4038709677418</v>
      </c>
    </row>
    <row r="22" spans="1:22" x14ac:dyDescent="0.2">
      <c r="A22" s="5"/>
      <c r="B22"/>
      <c r="C22"/>
      <c r="D22"/>
      <c r="F22"/>
      <c r="G22"/>
      <c r="I22">
        <f t="shared" si="25"/>
        <v>-45</v>
      </c>
      <c r="J22">
        <f t="shared" si="26"/>
        <v>0</v>
      </c>
      <c r="K22">
        <f t="shared" si="27"/>
        <v>-45</v>
      </c>
      <c r="N22" t="b">
        <f t="shared" si="16"/>
        <v>0</v>
      </c>
      <c r="O22">
        <f t="shared" si="21"/>
        <v>0</v>
      </c>
      <c r="P22">
        <f t="shared" si="8"/>
        <v>-45</v>
      </c>
      <c r="Q22">
        <f t="shared" si="9"/>
        <v>-45</v>
      </c>
      <c r="R22" s="6">
        <f t="shared" si="10"/>
        <v>27</v>
      </c>
      <c r="S22">
        <f t="shared" si="11"/>
        <v>-868.5</v>
      </c>
      <c r="T22">
        <f t="shared" si="12"/>
        <v>868.5</v>
      </c>
      <c r="U22" s="4">
        <v>21</v>
      </c>
      <c r="V22">
        <f t="shared" si="13"/>
        <v>867.79354838709662</v>
      </c>
    </row>
    <row r="23" spans="1:22" x14ac:dyDescent="0.2">
      <c r="A23" s="5"/>
      <c r="B23"/>
      <c r="C23"/>
      <c r="D23"/>
      <c r="F23"/>
      <c r="G23"/>
      <c r="I23">
        <f t="shared" si="25"/>
        <v>-50</v>
      </c>
      <c r="J23">
        <f t="shared" si="26"/>
        <v>-50</v>
      </c>
      <c r="K23">
        <f t="shared" si="27"/>
        <v>0</v>
      </c>
      <c r="N23" t="b">
        <f t="shared" si="16"/>
        <v>0</v>
      </c>
      <c r="O23">
        <f t="shared" si="21"/>
        <v>0</v>
      </c>
      <c r="P23">
        <f t="shared" si="8"/>
        <v>-50</v>
      </c>
      <c r="Q23">
        <f t="shared" si="9"/>
        <v>-50</v>
      </c>
      <c r="R23" s="6">
        <f t="shared" si="10"/>
        <v>27</v>
      </c>
      <c r="S23">
        <f t="shared" si="11"/>
        <v>-918.5</v>
      </c>
      <c r="T23">
        <f t="shared" si="12"/>
        <v>918.5</v>
      </c>
      <c r="U23" s="4">
        <v>22</v>
      </c>
      <c r="V23">
        <f t="shared" si="13"/>
        <v>911.18322580645145</v>
      </c>
    </row>
    <row r="24" spans="1:22" x14ac:dyDescent="0.2">
      <c r="A24" s="5"/>
      <c r="B24"/>
      <c r="C24"/>
      <c r="D24"/>
      <c r="F24"/>
      <c r="G24"/>
      <c r="I24">
        <f t="shared" si="25"/>
        <v>-54.99</v>
      </c>
      <c r="J24">
        <f t="shared" si="26"/>
        <v>-54.99</v>
      </c>
      <c r="K24">
        <f t="shared" si="27"/>
        <v>0</v>
      </c>
      <c r="N24" t="b">
        <f t="shared" si="16"/>
        <v>0</v>
      </c>
      <c r="O24">
        <f t="shared" si="21"/>
        <v>0</v>
      </c>
      <c r="P24">
        <f t="shared" si="8"/>
        <v>-54.99</v>
      </c>
      <c r="Q24">
        <f t="shared" si="9"/>
        <v>-54.99</v>
      </c>
      <c r="R24" s="6">
        <f t="shared" si="10"/>
        <v>28</v>
      </c>
      <c r="S24">
        <f t="shared" si="11"/>
        <v>-973.49</v>
      </c>
      <c r="T24">
        <f t="shared" si="12"/>
        <v>973.49</v>
      </c>
      <c r="U24" s="4">
        <v>23</v>
      </c>
      <c r="V24">
        <f t="shared" si="13"/>
        <v>954.57290322580627</v>
      </c>
    </row>
    <row r="25" spans="1:22" hidden="1" x14ac:dyDescent="0.2">
      <c r="A25" s="5"/>
      <c r="B25"/>
      <c r="C25"/>
      <c r="D25"/>
      <c r="G25"/>
      <c r="I25">
        <f t="shared" si="25"/>
        <v>0</v>
      </c>
      <c r="J25">
        <f t="shared" si="26"/>
        <v>0</v>
      </c>
      <c r="K25">
        <f t="shared" si="27"/>
        <v>-30</v>
      </c>
      <c r="N25" t="b">
        <f t="shared" si="16"/>
        <v>0</v>
      </c>
      <c r="O25">
        <f t="shared" si="21"/>
        <v>-30</v>
      </c>
      <c r="P25">
        <f t="shared" si="8"/>
        <v>-30</v>
      </c>
      <c r="Q25">
        <f t="shared" si="9"/>
        <v>-30</v>
      </c>
      <c r="R25" s="6">
        <f t="shared" si="10"/>
        <v>28</v>
      </c>
      <c r="S25">
        <f t="shared" si="11"/>
        <v>-1003.49</v>
      </c>
      <c r="T25">
        <f t="shared" si="12"/>
        <v>1003.49</v>
      </c>
      <c r="U25" s="4">
        <v>24</v>
      </c>
      <c r="V25">
        <f t="shared" si="13"/>
        <v>997.9625806451611</v>
      </c>
    </row>
    <row r="26" spans="1:22" x14ac:dyDescent="0.2">
      <c r="A26" s="5"/>
      <c r="B26"/>
      <c r="C26"/>
      <c r="D26"/>
      <c r="F26"/>
      <c r="G26"/>
      <c r="I26">
        <f t="shared" ref="I26:I31" si="28">IF(EXACT(F26,"M"),C26,0)</f>
        <v>-14.99</v>
      </c>
      <c r="J26">
        <f t="shared" ref="J26:J31" si="29">IF(EXACT(G26,"CheckingStarOneTXs"),C26,0)</f>
        <v>-14.99</v>
      </c>
      <c r="K26">
        <f t="shared" ref="K26:K31" si="30">IF(AND(C26&lt;0,EXACT(G26,"VisaChaseTXs")),C26,0)</f>
        <v>0</v>
      </c>
      <c r="N26" t="b">
        <f t="shared" si="16"/>
        <v>0</v>
      </c>
      <c r="O26">
        <f t="shared" si="21"/>
        <v>0</v>
      </c>
      <c r="P26">
        <f t="shared" si="8"/>
        <v>-14.99</v>
      </c>
      <c r="Q26">
        <f t="shared" si="9"/>
        <v>-14.99</v>
      </c>
      <c r="R26" s="6">
        <f t="shared" si="10"/>
        <v>29</v>
      </c>
      <c r="S26">
        <f t="shared" si="11"/>
        <v>-1018.48</v>
      </c>
      <c r="T26">
        <f t="shared" si="12"/>
        <v>1018.48</v>
      </c>
      <c r="U26" s="4">
        <v>25</v>
      </c>
      <c r="V26">
        <f t="shared" si="13"/>
        <v>1041.352258064516</v>
      </c>
    </row>
    <row r="27" spans="1:22" hidden="1" x14ac:dyDescent="0.2">
      <c r="A27" s="5"/>
      <c r="B27"/>
      <c r="C27"/>
      <c r="D27"/>
      <c r="G27"/>
      <c r="I27">
        <f t="shared" si="28"/>
        <v>0</v>
      </c>
      <c r="J27">
        <f t="shared" si="29"/>
        <v>0</v>
      </c>
      <c r="K27">
        <f t="shared" si="30"/>
        <v>-15.7</v>
      </c>
      <c r="N27" t="b">
        <f t="shared" si="16"/>
        <v>0</v>
      </c>
      <c r="O27">
        <f t="shared" si="21"/>
        <v>-15.7</v>
      </c>
      <c r="P27">
        <f t="shared" si="8"/>
        <v>-15.7</v>
      </c>
      <c r="Q27">
        <f t="shared" si="9"/>
        <v>-15.7</v>
      </c>
      <c r="R27" s="6">
        <f t="shared" si="10"/>
        <v>29</v>
      </c>
      <c r="S27">
        <f t="shared" si="11"/>
        <v>-1034.18</v>
      </c>
      <c r="T27">
        <f t="shared" si="12"/>
        <v>1034.18</v>
      </c>
      <c r="U27" s="4">
        <v>26</v>
      </c>
      <c r="V27">
        <f t="shared" si="13"/>
        <v>1084.741935483871</v>
      </c>
    </row>
    <row r="28" spans="1:22" hidden="1" x14ac:dyDescent="0.2">
      <c r="A28" s="5"/>
      <c r="B28"/>
      <c r="C28"/>
      <c r="D28"/>
      <c r="G28"/>
      <c r="I28">
        <f t="shared" si="28"/>
        <v>0</v>
      </c>
      <c r="J28">
        <f t="shared" si="29"/>
        <v>0</v>
      </c>
      <c r="K28">
        <f t="shared" si="30"/>
        <v>-42.79</v>
      </c>
      <c r="N28" t="b">
        <f t="shared" si="16"/>
        <v>0</v>
      </c>
      <c r="O28">
        <f t="shared" si="21"/>
        <v>-42.79</v>
      </c>
      <c r="P28">
        <f t="shared" si="8"/>
        <v>-42.79</v>
      </c>
      <c r="Q28">
        <f t="shared" si="9"/>
        <v>-42.79</v>
      </c>
      <c r="R28" s="6">
        <f t="shared" si="10"/>
        <v>29</v>
      </c>
      <c r="S28">
        <f t="shared" si="11"/>
        <v>-1076.97</v>
      </c>
      <c r="T28">
        <f t="shared" si="12"/>
        <v>1076.97</v>
      </c>
      <c r="U28" s="4">
        <v>27</v>
      </c>
      <c r="V28">
        <f t="shared" si="13"/>
        <v>1128.1316129032259</v>
      </c>
    </row>
    <row r="29" spans="1:22" hidden="1" x14ac:dyDescent="0.2">
      <c r="A29" s="5"/>
      <c r="B29"/>
      <c r="C29"/>
      <c r="D29"/>
      <c r="G29"/>
      <c r="I29">
        <f t="shared" si="28"/>
        <v>0</v>
      </c>
      <c r="J29">
        <f t="shared" si="29"/>
        <v>0.22</v>
      </c>
      <c r="K29">
        <f t="shared" si="30"/>
        <v>0</v>
      </c>
      <c r="N29" t="b">
        <f t="shared" si="16"/>
        <v>0</v>
      </c>
      <c r="O29">
        <f t="shared" si="21"/>
        <v>0.22</v>
      </c>
      <c r="P29">
        <f t="shared" si="8"/>
        <v>0</v>
      </c>
      <c r="Q29">
        <f t="shared" si="9"/>
        <v>0</v>
      </c>
      <c r="R29" s="6">
        <f t="shared" si="10"/>
        <v>30</v>
      </c>
      <c r="S29">
        <f t="shared" si="11"/>
        <v>-1076.97</v>
      </c>
      <c r="T29">
        <f t="shared" si="12"/>
        <v>1076.97</v>
      </c>
      <c r="U29" s="4">
        <v>28</v>
      </c>
      <c r="V29">
        <f t="shared" si="13"/>
        <v>1171.5212903225809</v>
      </c>
    </row>
    <row r="30" spans="1:22" hidden="1" x14ac:dyDescent="0.2">
      <c r="A30" s="5"/>
      <c r="B30"/>
      <c r="C30"/>
      <c r="D30"/>
      <c r="G30"/>
      <c r="I30">
        <f t="shared" si="28"/>
        <v>0</v>
      </c>
      <c r="J30">
        <f t="shared" si="29"/>
        <v>0</v>
      </c>
      <c r="K30">
        <f t="shared" si="30"/>
        <v>-6</v>
      </c>
      <c r="N30" t="b">
        <f t="shared" si="16"/>
        <v>0</v>
      </c>
      <c r="O30">
        <f t="shared" si="21"/>
        <v>-6</v>
      </c>
      <c r="P30">
        <f t="shared" si="8"/>
        <v>-6</v>
      </c>
      <c r="Q30">
        <f t="shared" si="9"/>
        <v>-6</v>
      </c>
      <c r="R30" s="6">
        <f t="shared" si="10"/>
        <v>30</v>
      </c>
      <c r="S30">
        <f t="shared" si="11"/>
        <v>-1082.97</v>
      </c>
      <c r="T30">
        <f t="shared" si="12"/>
        <v>1082.97</v>
      </c>
      <c r="U30" s="4">
        <v>29</v>
      </c>
      <c r="V30">
        <f t="shared" si="13"/>
        <v>1214.9109677419358</v>
      </c>
    </row>
    <row r="31" spans="1:22" x14ac:dyDescent="0.2">
      <c r="A31" s="5"/>
      <c r="B31"/>
      <c r="C31"/>
      <c r="D31"/>
      <c r="F31"/>
      <c r="G31"/>
      <c r="I31">
        <f t="shared" si="28"/>
        <v>-40</v>
      </c>
      <c r="J31">
        <f t="shared" si="29"/>
        <v>0</v>
      </c>
      <c r="K31">
        <f t="shared" si="30"/>
        <v>-40</v>
      </c>
      <c r="N31" t="b">
        <f t="shared" si="16"/>
        <v>0</v>
      </c>
      <c r="O31">
        <f t="shared" si="21"/>
        <v>0</v>
      </c>
      <c r="P31">
        <f t="shared" si="8"/>
        <v>-40</v>
      </c>
      <c r="Q31">
        <f t="shared" si="9"/>
        <v>-40</v>
      </c>
      <c r="R31" s="6">
        <f>ABS($Y$1-A31)+10</f>
        <v>31</v>
      </c>
      <c r="S31">
        <f t="shared" si="11"/>
        <v>-1122.97</v>
      </c>
      <c r="T31">
        <f t="shared" si="12"/>
        <v>1122.97</v>
      </c>
      <c r="U31" s="4">
        <v>30</v>
      </c>
      <c r="V31">
        <f t="shared" si="13"/>
        <v>1258.3006451612907</v>
      </c>
    </row>
    <row r="32" spans="1:22" x14ac:dyDescent="0.2">
      <c r="A32" s="5"/>
      <c r="B32"/>
      <c r="C32"/>
      <c r="D32"/>
      <c r="F32"/>
      <c r="G32"/>
      <c r="I32">
        <f t="shared" ref="I32:I48" si="31">IF(EXACT(F32,"M"),C32,0)</f>
        <v>-24.19</v>
      </c>
      <c r="J32">
        <f t="shared" ref="J32:J48" si="32">IF(EXACT(G32,"CheckingStarOneTXs"),C32,0)</f>
        <v>-24.19</v>
      </c>
      <c r="K32">
        <f t="shared" ref="K32:K48" si="33">IF(AND(C32&lt;0,EXACT(G32,"VisaChaseTXs")),C32,0)</f>
        <v>0</v>
      </c>
      <c r="N32" t="b">
        <f t="shared" si="16"/>
        <v>0</v>
      </c>
      <c r="O32">
        <f t="shared" si="21"/>
        <v>0</v>
      </c>
      <c r="P32">
        <f t="shared" si="8"/>
        <v>-24.19</v>
      </c>
      <c r="Q32">
        <f t="shared" si="9"/>
        <v>-24.19</v>
      </c>
      <c r="R32" s="6">
        <f t="shared" si="10"/>
        <v>33</v>
      </c>
      <c r="S32">
        <f t="shared" si="11"/>
        <v>-1147.1600000000001</v>
      </c>
      <c r="T32">
        <f t="shared" si="12"/>
        <v>1147.1600000000001</v>
      </c>
      <c r="U32" s="4">
        <v>31</v>
      </c>
      <c r="V32">
        <f t="shared" si="13"/>
        <v>1301.6903225806457</v>
      </c>
    </row>
    <row r="33" spans="1:23" x14ac:dyDescent="0.2">
      <c r="A33" s="3"/>
      <c r="B33"/>
      <c r="C33"/>
      <c r="D33"/>
      <c r="F33"/>
      <c r="G33"/>
      <c r="I33">
        <f t="shared" si="31"/>
        <v>-241.41</v>
      </c>
      <c r="J33">
        <f t="shared" si="32"/>
        <v>-241.41</v>
      </c>
      <c r="K33">
        <f t="shared" si="33"/>
        <v>0</v>
      </c>
      <c r="N33" t="b">
        <f t="shared" si="16"/>
        <v>0</v>
      </c>
      <c r="O33">
        <f t="shared" si="21"/>
        <v>0</v>
      </c>
      <c r="P33">
        <f t="shared" si="8"/>
        <v>-241.41</v>
      </c>
      <c r="Q33">
        <f t="shared" si="9"/>
        <v>-241.41</v>
      </c>
      <c r="R33" s="6">
        <f t="shared" si="10"/>
        <v>33</v>
      </c>
      <c r="S33">
        <f t="shared" si="11"/>
        <v>-1388.5700000000002</v>
      </c>
      <c r="T33">
        <f t="shared" si="12"/>
        <v>1388.5700000000002</v>
      </c>
      <c r="U33" s="4">
        <v>32</v>
      </c>
      <c r="V33">
        <f t="shared" si="13"/>
        <v>1345.0800000000006</v>
      </c>
    </row>
    <row r="34" spans="1:23" x14ac:dyDescent="0.2">
      <c r="A34" s="3"/>
      <c r="B34"/>
      <c r="C34"/>
      <c r="D34"/>
      <c r="F34"/>
      <c r="G34"/>
      <c r="I34">
        <f t="shared" si="31"/>
        <v>-59.74</v>
      </c>
      <c r="J34">
        <f t="shared" si="32"/>
        <v>-59.74</v>
      </c>
      <c r="K34">
        <f t="shared" si="33"/>
        <v>0</v>
      </c>
      <c r="N34" t="b">
        <f t="shared" si="16"/>
        <v>0</v>
      </c>
      <c r="O34">
        <f t="shared" si="21"/>
        <v>0</v>
      </c>
      <c r="P34">
        <f t="shared" si="8"/>
        <v>-59.74</v>
      </c>
      <c r="Q34">
        <f t="shared" si="9"/>
        <v>-59.74</v>
      </c>
      <c r="R34" s="6">
        <f t="shared" si="10"/>
        <v>33</v>
      </c>
      <c r="S34">
        <f t="shared" si="11"/>
        <v>-1448.3100000000002</v>
      </c>
      <c r="T34">
        <f t="shared" si="12"/>
        <v>1448.3100000000002</v>
      </c>
      <c r="U34" s="4">
        <v>33</v>
      </c>
      <c r="V34">
        <f t="shared" si="13"/>
        <v>1388.4696774193555</v>
      </c>
    </row>
    <row r="35" spans="1:23" hidden="1" x14ac:dyDescent="0.2">
      <c r="A35" s="5"/>
      <c r="I35">
        <f t="shared" si="31"/>
        <v>0</v>
      </c>
      <c r="J35">
        <f t="shared" si="32"/>
        <v>0</v>
      </c>
      <c r="K35">
        <f t="shared" si="33"/>
        <v>0</v>
      </c>
      <c r="N35" t="b">
        <f t="shared" si="16"/>
        <v>0</v>
      </c>
      <c r="O35">
        <f>IF(EXACT(F35,""),C35,0)</f>
        <v>0</v>
      </c>
      <c r="P35">
        <f t="shared" si="8"/>
        <v>0</v>
      </c>
      <c r="Q35">
        <f t="shared" si="9"/>
        <v>0</v>
      </c>
      <c r="R35" s="6">
        <f t="shared" si="10"/>
        <v>44671</v>
      </c>
      <c r="S35">
        <f t="shared" si="11"/>
        <v>-1448.3100000000002</v>
      </c>
      <c r="T35">
        <f t="shared" si="12"/>
        <v>1448.3100000000002</v>
      </c>
      <c r="U35" s="4">
        <v>34</v>
      </c>
      <c r="V35">
        <f t="shared" si="13"/>
        <v>1431.8593548387105</v>
      </c>
    </row>
    <row r="36" spans="1:23" hidden="1" x14ac:dyDescent="0.2">
      <c r="A36" s="5"/>
      <c r="I36">
        <f t="shared" si="31"/>
        <v>0</v>
      </c>
      <c r="J36">
        <f t="shared" si="32"/>
        <v>0</v>
      </c>
      <c r="K36">
        <f t="shared" si="33"/>
        <v>0</v>
      </c>
      <c r="N36" t="b">
        <f t="shared" si="16"/>
        <v>0</v>
      </c>
      <c r="O36">
        <f t="shared" si="21"/>
        <v>0</v>
      </c>
      <c r="P36">
        <f t="shared" si="8"/>
        <v>0</v>
      </c>
      <c r="Q36">
        <f t="shared" si="9"/>
        <v>0</v>
      </c>
      <c r="R36" s="6">
        <f t="shared" si="10"/>
        <v>44671</v>
      </c>
      <c r="S36">
        <f t="shared" si="11"/>
        <v>-1448.3100000000002</v>
      </c>
      <c r="T36">
        <f t="shared" si="12"/>
        <v>1448.3100000000002</v>
      </c>
      <c r="U36" s="4">
        <v>35</v>
      </c>
      <c r="V36">
        <f t="shared" si="13"/>
        <v>1475.2490322580654</v>
      </c>
    </row>
    <row r="37" spans="1:23" hidden="1" x14ac:dyDescent="0.2">
      <c r="A37" s="5"/>
      <c r="I37">
        <f>IF(EXACT(F37,"M"),C57,0)</f>
        <v>0</v>
      </c>
      <c r="J37">
        <f>IF(EXACT(G37,"CheckingStarOneTXs"),C57,0)</f>
        <v>0</v>
      </c>
      <c r="K37">
        <f>IF(AND(C57&lt;0,EXACT(G37,"VisaChaseTXs")),C57,0)</f>
        <v>0</v>
      </c>
      <c r="N37" t="b">
        <f t="shared" si="16"/>
        <v>0</v>
      </c>
      <c r="O37">
        <f>IF(EXACT(F37,""),C37,0)</f>
        <v>0</v>
      </c>
      <c r="P37">
        <f t="shared" ref="P37:P48" si="34">IF(AND(IF(C37&lt;0,C37,FALSE),E37&lt;&gt;"y"),C37,0)</f>
        <v>0</v>
      </c>
      <c r="Q37">
        <f t="shared" ref="Q37:Q48" si="35">P37</f>
        <v>0</v>
      </c>
      <c r="R37" s="4"/>
      <c r="T37">
        <f t="shared" si="12"/>
        <v>0</v>
      </c>
      <c r="U37" s="4">
        <v>36</v>
      </c>
      <c r="V37">
        <f t="shared" si="13"/>
        <v>1518.6387096774204</v>
      </c>
    </row>
    <row r="38" spans="1:23" hidden="1" x14ac:dyDescent="0.2">
      <c r="A38" s="5"/>
      <c r="I38">
        <f t="shared" si="31"/>
        <v>0</v>
      </c>
      <c r="J38">
        <f t="shared" si="32"/>
        <v>0</v>
      </c>
      <c r="K38">
        <f t="shared" si="33"/>
        <v>0</v>
      </c>
      <c r="N38" t="b">
        <f t="shared" si="16"/>
        <v>0</v>
      </c>
      <c r="O38">
        <f t="shared" si="21"/>
        <v>0</v>
      </c>
      <c r="P38">
        <f t="shared" si="34"/>
        <v>0</v>
      </c>
      <c r="Q38">
        <f t="shared" si="35"/>
        <v>0</v>
      </c>
      <c r="U38" s="4">
        <v>37</v>
      </c>
      <c r="V38">
        <f t="shared" si="13"/>
        <v>1562.0283870967753</v>
      </c>
    </row>
    <row r="39" spans="1:23" hidden="1" x14ac:dyDescent="0.2">
      <c r="A39" s="5"/>
      <c r="I39">
        <f t="shared" si="31"/>
        <v>0</v>
      </c>
      <c r="J39">
        <f t="shared" si="32"/>
        <v>0</v>
      </c>
      <c r="K39">
        <f t="shared" si="33"/>
        <v>0</v>
      </c>
      <c r="N39" t="b">
        <f t="shared" si="16"/>
        <v>0</v>
      </c>
      <c r="O39">
        <f t="shared" si="21"/>
        <v>0</v>
      </c>
      <c r="P39">
        <f t="shared" si="34"/>
        <v>0</v>
      </c>
      <c r="Q39">
        <f t="shared" si="35"/>
        <v>0</v>
      </c>
      <c r="U39" s="4">
        <v>38</v>
      </c>
      <c r="V39">
        <f t="shared" ref="V39:V42" si="36">$W$41/31+V38</f>
        <v>1605.4180645161302</v>
      </c>
    </row>
    <row r="40" spans="1:23" hidden="1" x14ac:dyDescent="0.2">
      <c r="A40" s="5"/>
      <c r="I40">
        <f t="shared" si="31"/>
        <v>0</v>
      </c>
      <c r="J40">
        <f t="shared" si="32"/>
        <v>0</v>
      </c>
      <c r="K40">
        <f t="shared" si="33"/>
        <v>0</v>
      </c>
      <c r="N40" t="b">
        <f t="shared" si="16"/>
        <v>0</v>
      </c>
      <c r="O40">
        <f t="shared" si="21"/>
        <v>0</v>
      </c>
      <c r="P40">
        <f t="shared" si="34"/>
        <v>0</v>
      </c>
      <c r="Q40">
        <f t="shared" si="35"/>
        <v>0</v>
      </c>
      <c r="U40" s="4">
        <v>39</v>
      </c>
      <c r="V40">
        <f t="shared" si="36"/>
        <v>1648.8077419354852</v>
      </c>
      <c r="W40" s="4" t="s">
        <v>18</v>
      </c>
    </row>
    <row r="41" spans="1:23" hidden="1" x14ac:dyDescent="0.2">
      <c r="I41">
        <f t="shared" si="31"/>
        <v>0</v>
      </c>
      <c r="J41">
        <f t="shared" si="32"/>
        <v>0</v>
      </c>
      <c r="K41">
        <f t="shared" si="33"/>
        <v>0</v>
      </c>
      <c r="N41" t="b">
        <f t="shared" si="16"/>
        <v>0</v>
      </c>
      <c r="O41">
        <f t="shared" si="21"/>
        <v>0</v>
      </c>
      <c r="P41">
        <f t="shared" si="34"/>
        <v>0</v>
      </c>
      <c r="Q41">
        <f t="shared" si="35"/>
        <v>0</v>
      </c>
      <c r="U41" s="4">
        <v>40</v>
      </c>
      <c r="V41">
        <f t="shared" si="36"/>
        <v>1692.1974193548401</v>
      </c>
      <c r="W41" s="4">
        <f>I57</f>
        <v>1345.08</v>
      </c>
    </row>
    <row r="42" spans="1:23" hidden="1" x14ac:dyDescent="0.2">
      <c r="I42">
        <f t="shared" si="31"/>
        <v>0</v>
      </c>
      <c r="J42">
        <f t="shared" si="32"/>
        <v>0</v>
      </c>
      <c r="K42">
        <f t="shared" si="33"/>
        <v>0</v>
      </c>
      <c r="N42" t="b">
        <f t="shared" si="16"/>
        <v>0</v>
      </c>
      <c r="O42">
        <f t="shared" si="21"/>
        <v>0</v>
      </c>
      <c r="P42">
        <f t="shared" si="34"/>
        <v>0</v>
      </c>
      <c r="Q42">
        <f t="shared" si="35"/>
        <v>0</v>
      </c>
      <c r="U42" s="4">
        <v>41</v>
      </c>
      <c r="V42">
        <f t="shared" si="36"/>
        <v>1735.5870967741951</v>
      </c>
    </row>
    <row r="43" spans="1:23" hidden="1" x14ac:dyDescent="0.2">
      <c r="I43">
        <f t="shared" si="31"/>
        <v>0</v>
      </c>
      <c r="J43">
        <f t="shared" si="32"/>
        <v>0</v>
      </c>
      <c r="K43">
        <f t="shared" si="33"/>
        <v>0</v>
      </c>
      <c r="N43" t="b">
        <f t="shared" si="16"/>
        <v>0</v>
      </c>
      <c r="O43">
        <f t="shared" si="21"/>
        <v>0</v>
      </c>
      <c r="P43">
        <f t="shared" si="34"/>
        <v>0</v>
      </c>
      <c r="Q43">
        <f t="shared" si="35"/>
        <v>0</v>
      </c>
    </row>
    <row r="44" spans="1:23" hidden="1" x14ac:dyDescent="0.2">
      <c r="I44">
        <f t="shared" si="31"/>
        <v>0</v>
      </c>
      <c r="J44">
        <f t="shared" si="32"/>
        <v>0</v>
      </c>
      <c r="K44">
        <f t="shared" si="33"/>
        <v>0</v>
      </c>
      <c r="N44" t="b">
        <f t="shared" si="16"/>
        <v>0</v>
      </c>
      <c r="O44">
        <f t="shared" si="21"/>
        <v>0</v>
      </c>
      <c r="P44">
        <f t="shared" si="34"/>
        <v>0</v>
      </c>
      <c r="Q44">
        <f t="shared" si="35"/>
        <v>0</v>
      </c>
    </row>
    <row r="45" spans="1:23" hidden="1" x14ac:dyDescent="0.2">
      <c r="I45">
        <f t="shared" si="31"/>
        <v>0</v>
      </c>
      <c r="J45">
        <f t="shared" si="32"/>
        <v>0</v>
      </c>
      <c r="K45">
        <f t="shared" si="33"/>
        <v>0</v>
      </c>
      <c r="N45" t="b">
        <f t="shared" si="16"/>
        <v>0</v>
      </c>
      <c r="O45">
        <f t="shared" si="21"/>
        <v>0</v>
      </c>
      <c r="P45">
        <f t="shared" si="34"/>
        <v>0</v>
      </c>
      <c r="Q45">
        <f t="shared" si="35"/>
        <v>0</v>
      </c>
    </row>
    <row r="46" spans="1:23" hidden="1" x14ac:dyDescent="0.2">
      <c r="I46">
        <f t="shared" si="31"/>
        <v>0</v>
      </c>
      <c r="J46">
        <f t="shared" si="32"/>
        <v>0</v>
      </c>
      <c r="K46">
        <f t="shared" si="33"/>
        <v>0</v>
      </c>
      <c r="N46" t="b">
        <f t="shared" si="16"/>
        <v>0</v>
      </c>
      <c r="O46">
        <f t="shared" si="21"/>
        <v>0</v>
      </c>
      <c r="P46">
        <f t="shared" si="34"/>
        <v>0</v>
      </c>
      <c r="Q46">
        <f t="shared" si="35"/>
        <v>0</v>
      </c>
    </row>
    <row r="47" spans="1:23" hidden="1" x14ac:dyDescent="0.2">
      <c r="I47">
        <f t="shared" si="31"/>
        <v>0</v>
      </c>
      <c r="J47">
        <f t="shared" si="32"/>
        <v>0</v>
      </c>
      <c r="K47">
        <f t="shared" si="33"/>
        <v>0</v>
      </c>
      <c r="N47" t="b">
        <f t="shared" si="16"/>
        <v>0</v>
      </c>
      <c r="O47">
        <f t="shared" si="21"/>
        <v>0</v>
      </c>
      <c r="P47">
        <f t="shared" si="34"/>
        <v>0</v>
      </c>
      <c r="Q47">
        <f t="shared" si="35"/>
        <v>0</v>
      </c>
    </row>
    <row r="48" spans="1:23" hidden="1" x14ac:dyDescent="0.2">
      <c r="I48">
        <f t="shared" si="31"/>
        <v>0</v>
      </c>
      <c r="J48">
        <f t="shared" si="32"/>
        <v>0</v>
      </c>
      <c r="K48">
        <f t="shared" si="33"/>
        <v>0</v>
      </c>
      <c r="N48" t="b">
        <f t="shared" si="16"/>
        <v>0</v>
      </c>
      <c r="O48">
        <f t="shared" si="21"/>
        <v>0</v>
      </c>
      <c r="P48">
        <f t="shared" si="34"/>
        <v>0</v>
      </c>
      <c r="Q48">
        <f t="shared" si="35"/>
        <v>0</v>
      </c>
    </row>
    <row r="57" spans="3:15" x14ac:dyDescent="0.2">
      <c r="C57">
        <f>SUM(C2:C36)</f>
        <v>930.20999999999992</v>
      </c>
      <c r="I57">
        <f>SUM(I2:I36)</f>
        <v>1345.08</v>
      </c>
      <c r="J57" t="s">
        <v>22</v>
      </c>
      <c r="O57">
        <f>SUM(O2:O36)</f>
        <v>-414.87</v>
      </c>
    </row>
  </sheetData>
  <autoFilter ref="F1:F48" xr:uid="{AA399A78-87C1-CC47-9F5F-8D11457D5A7A}">
    <filterColumn colId="0">
      <customFilters>
        <customFilter operator="notEqual" val=" "/>
      </customFilters>
    </filterColumn>
  </autoFilter>
  <phoneticPr fontId="1" type="noConversion"/>
  <conditionalFormatting sqref="C1">
    <cfRule type="cellIs" dxfId="3" priority="1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F73A-74A6-734E-B20C-76662F69D3F3}">
  <dimension ref="A1:R36"/>
  <sheetViews>
    <sheetView tabSelected="1" topLeftCell="B1" workbookViewId="0">
      <selection activeCell="J2" sqref="J2"/>
    </sheetView>
  </sheetViews>
  <sheetFormatPr baseColWidth="10" defaultRowHeight="16" x14ac:dyDescent="0.2"/>
  <cols>
    <col min="1" max="1" width="11.83203125" bestFit="1" customWidth="1"/>
    <col min="2" max="2" width="49.6640625" bestFit="1" customWidth="1"/>
    <col min="3" max="3" width="7.83203125" bestFit="1" customWidth="1"/>
    <col min="4" max="4" width="28.5" bestFit="1" customWidth="1"/>
    <col min="6" max="6" width="2.83203125" bestFit="1" customWidth="1"/>
    <col min="7" max="7" width="18" bestFit="1" customWidth="1"/>
    <col min="8" max="8" width="18" customWidth="1"/>
    <col min="12" max="12" width="11.83203125" bestFit="1" customWidth="1"/>
    <col min="13" max="13" width="60.5" bestFit="1" customWidth="1"/>
    <col min="14" max="14" width="8.83203125" bestFit="1" customWidth="1"/>
    <col min="15" max="15" width="28.5" bestFit="1" customWidth="1"/>
    <col min="16" max="16" width="2" bestFit="1" customWidth="1"/>
    <col min="17" max="17" width="2.83203125" bestFit="1" customWidth="1"/>
    <col min="18" max="18" width="18" bestFit="1" customWidth="1"/>
  </cols>
  <sheetData>
    <row r="1" spans="1:18" x14ac:dyDescent="0.2">
      <c r="A1" t="s">
        <v>24</v>
      </c>
      <c r="J1" t="s">
        <v>26</v>
      </c>
      <c r="K1" t="s">
        <v>25</v>
      </c>
      <c r="L1" s="3" t="s">
        <v>0</v>
      </c>
      <c r="M1" t="s">
        <v>1</v>
      </c>
      <c r="N1" s="1" t="s">
        <v>2</v>
      </c>
      <c r="O1" t="s">
        <v>3</v>
      </c>
      <c r="P1" t="s">
        <v>4</v>
      </c>
      <c r="Q1" t="s">
        <v>5</v>
      </c>
      <c r="R1" s="2" t="s">
        <v>6</v>
      </c>
    </row>
    <row r="2" spans="1:18" x14ac:dyDescent="0.2">
      <c r="A2" s="5"/>
      <c r="B2"/>
      <c r="C2"/>
      <c r="D2"/>
      <c r="F2"/>
      <c r="G2"/>
      <c r="H2" t="str">
        <f>LEFT(B2,6)</f>
        <v>BEST L</v>
      </c>
      <c r="I2">
        <f>VLOOKUP(H2,$K$2:$N$50,4,FALSE)</f>
        <v>-24.19</v>
      </c>
      <c r="J2">
        <f t="shared" ref="J2:J34" si="0">IF(ISNA(I2),C2,0)</f>
        <v>0</v>
      </c>
      <c r="K2" t="str">
        <f>LEFT(M2,6)</f>
        <v>SILVER</v>
      </c>
      <c r="L2" s="5"/>
      <c r="M2"/>
      <c r="N2"/>
      <c r="O2"/>
      <c r="R2"/>
    </row>
    <row r="3" spans="1:18" x14ac:dyDescent="0.2">
      <c r="A3" s="5"/>
      <c r="B3"/>
      <c r="C3"/>
      <c r="D3"/>
      <c r="F3"/>
      <c r="G3"/>
      <c r="H3" t="str">
        <f t="shared" ref="H3:H27" si="1">LEFT(B3,6)</f>
        <v>NV ENE</v>
      </c>
      <c r="I3">
        <f t="shared" ref="I3:I34" si="2">VLOOKUP(H3,$K$2:$N$50,4,FALSE)</f>
        <v>-59.74</v>
      </c>
      <c r="J3">
        <f t="shared" si="0"/>
        <v>0</v>
      </c>
      <c r="K3" t="str">
        <f t="shared" ref="K3:K34" si="3">LEFT(M3,6)</f>
        <v>MSFT *</v>
      </c>
      <c r="L3" s="5"/>
      <c r="M3"/>
      <c r="N3"/>
      <c r="O3"/>
      <c r="Q3"/>
      <c r="R3"/>
    </row>
    <row r="4" spans="1:18" x14ac:dyDescent="0.2">
      <c r="A4" s="5"/>
      <c r="B4"/>
      <c r="C4"/>
      <c r="D4"/>
      <c r="F4"/>
      <c r="G4"/>
      <c r="H4" t="str">
        <f t="shared" si="1"/>
        <v>RENO B</v>
      </c>
      <c r="I4">
        <f t="shared" si="2"/>
        <v>-40</v>
      </c>
      <c r="J4">
        <f t="shared" si="0"/>
        <v>0</v>
      </c>
      <c r="K4" t="str">
        <f t="shared" si="3"/>
        <v>Paymen</v>
      </c>
      <c r="L4" s="5"/>
      <c r="M4"/>
      <c r="N4"/>
      <c r="O4"/>
      <c r="P4"/>
      <c r="R4"/>
    </row>
    <row r="5" spans="1:18" x14ac:dyDescent="0.2">
      <c r="A5" s="5"/>
      <c r="B5"/>
      <c r="C5"/>
      <c r="D5"/>
      <c r="F5"/>
      <c r="G5"/>
      <c r="H5" t="str">
        <f t="shared" si="1"/>
        <v>EPayme</v>
      </c>
      <c r="I5">
        <f t="shared" si="2"/>
        <v>-241.41</v>
      </c>
      <c r="J5">
        <f t="shared" si="0"/>
        <v>0</v>
      </c>
      <c r="K5" t="str">
        <f t="shared" si="3"/>
        <v xml:space="preserve">CHASE </v>
      </c>
      <c r="L5" s="5"/>
      <c r="M5"/>
      <c r="N5"/>
      <c r="O5"/>
      <c r="P5"/>
      <c r="R5"/>
    </row>
    <row r="6" spans="1:18" x14ac:dyDescent="0.2">
      <c r="A6" s="5"/>
      <c r="B6"/>
      <c r="C6"/>
      <c r="D6"/>
      <c r="F6"/>
      <c r="G6"/>
      <c r="H6" t="str">
        <f t="shared" si="1"/>
        <v>TMOBIL</v>
      </c>
      <c r="I6" t="e">
        <f t="shared" si="2"/>
        <v>#N/A</v>
      </c>
      <c r="J6">
        <f t="shared" si="0"/>
        <v>-33.57</v>
      </c>
      <c r="K6" t="str">
        <f t="shared" si="3"/>
        <v>FERNLE</v>
      </c>
      <c r="L6" s="5"/>
      <c r="M6"/>
      <c r="N6"/>
      <c r="O6"/>
      <c r="R6"/>
    </row>
    <row r="7" spans="1:18" x14ac:dyDescent="0.2">
      <c r="A7" s="5"/>
      <c r="B7"/>
      <c r="C7"/>
      <c r="D7"/>
      <c r="F7"/>
      <c r="G7"/>
      <c r="H7" t="str">
        <f t="shared" si="1"/>
        <v>MSFT *</v>
      </c>
      <c r="I7">
        <f t="shared" si="2"/>
        <v>-12.5</v>
      </c>
      <c r="J7">
        <f t="shared" si="0"/>
        <v>0</v>
      </c>
      <c r="K7" t="str">
        <f t="shared" si="3"/>
        <v>Dropbo</v>
      </c>
      <c r="L7" s="5"/>
      <c r="M7"/>
      <c r="N7"/>
      <c r="O7"/>
      <c r="Q7"/>
      <c r="R7"/>
    </row>
    <row r="8" spans="1:18" x14ac:dyDescent="0.2">
      <c r="A8" s="5"/>
      <c r="B8"/>
      <c r="C8"/>
      <c r="D8"/>
      <c r="F8"/>
      <c r="G8"/>
      <c r="H8" t="str">
        <f t="shared" si="1"/>
        <v>Dropbo</v>
      </c>
      <c r="I8">
        <f t="shared" si="2"/>
        <v>-11.99</v>
      </c>
      <c r="J8">
        <f t="shared" si="0"/>
        <v>0</v>
      </c>
      <c r="K8" t="str">
        <f t="shared" si="3"/>
        <v xml:space="preserve">eBay  </v>
      </c>
      <c r="L8" s="5"/>
      <c r="M8"/>
      <c r="N8"/>
      <c r="P8"/>
      <c r="R8"/>
    </row>
    <row r="9" spans="1:18" x14ac:dyDescent="0.2">
      <c r="A9" s="5"/>
      <c r="B9"/>
      <c r="C9"/>
      <c r="D9"/>
      <c r="F9"/>
      <c r="G9"/>
      <c r="H9" t="str">
        <f t="shared" si="1"/>
        <v xml:space="preserve">GEICO </v>
      </c>
      <c r="I9">
        <f t="shared" si="2"/>
        <v>-74.680000000000007</v>
      </c>
      <c r="J9">
        <f t="shared" si="0"/>
        <v>0</v>
      </c>
      <c r="K9" t="str">
        <f t="shared" si="3"/>
        <v xml:space="preserve">GEICO </v>
      </c>
      <c r="L9" s="5"/>
      <c r="M9"/>
      <c r="N9"/>
      <c r="O9"/>
      <c r="Q9"/>
      <c r="R9"/>
    </row>
    <row r="10" spans="1:18" x14ac:dyDescent="0.2">
      <c r="A10" s="5"/>
      <c r="B10"/>
      <c r="C10"/>
      <c r="D10"/>
      <c r="F10"/>
      <c r="G10"/>
      <c r="H10" t="str">
        <f t="shared" si="1"/>
        <v>VSP 80</v>
      </c>
      <c r="I10">
        <f t="shared" si="2"/>
        <v>-13.84</v>
      </c>
      <c r="J10">
        <f t="shared" si="0"/>
        <v>0</v>
      </c>
      <c r="K10" t="str">
        <f t="shared" si="3"/>
        <v>Online</v>
      </c>
      <c r="L10" s="5"/>
      <c r="M10"/>
      <c r="N10"/>
      <c r="P10"/>
      <c r="R10"/>
    </row>
    <row r="11" spans="1:18" x14ac:dyDescent="0.2">
      <c r="A11" s="5"/>
      <c r="B11"/>
      <c r="C11"/>
      <c r="D11"/>
      <c r="F11"/>
      <c r="G11"/>
      <c r="H11" t="str">
        <f t="shared" si="1"/>
        <v>CarMax</v>
      </c>
      <c r="I11">
        <f t="shared" si="2"/>
        <v>-297.33999999999997</v>
      </c>
      <c r="J11">
        <f t="shared" si="0"/>
        <v>0</v>
      </c>
      <c r="K11" t="str">
        <f t="shared" si="3"/>
        <v>VSP 80</v>
      </c>
      <c r="L11" s="5"/>
      <c r="M11"/>
      <c r="N11"/>
      <c r="O11"/>
      <c r="Q11"/>
      <c r="R11"/>
    </row>
    <row r="12" spans="1:18" x14ac:dyDescent="0.2">
      <c r="A12" s="5"/>
      <c r="B12"/>
      <c r="C12"/>
      <c r="D12"/>
      <c r="F12"/>
      <c r="G12"/>
      <c r="H12" t="str">
        <f t="shared" si="1"/>
        <v>SSA  T</v>
      </c>
      <c r="I12">
        <f t="shared" si="2"/>
        <v>2378.3000000000002</v>
      </c>
      <c r="J12">
        <f t="shared" si="0"/>
        <v>0</v>
      </c>
      <c r="K12" t="str">
        <f t="shared" si="3"/>
        <v>24 SEV</v>
      </c>
      <c r="L12" s="5"/>
      <c r="M12"/>
      <c r="N12"/>
      <c r="O12"/>
      <c r="R12"/>
    </row>
    <row r="13" spans="1:18" x14ac:dyDescent="0.2">
      <c r="A13" s="5"/>
      <c r="B13"/>
      <c r="C13"/>
      <c r="D13"/>
      <c r="F13"/>
      <c r="G13"/>
      <c r="H13" t="str">
        <f t="shared" si="1"/>
        <v>Patien</v>
      </c>
      <c r="I13">
        <f t="shared" si="2"/>
        <v>-21.92</v>
      </c>
      <c r="J13">
        <f t="shared" si="0"/>
        <v>0</v>
      </c>
      <c r="K13" t="str">
        <f t="shared" si="3"/>
        <v>DESERT</v>
      </c>
      <c r="L13" s="5"/>
      <c r="M13"/>
      <c r="N13"/>
      <c r="O13"/>
      <c r="R13"/>
    </row>
    <row r="14" spans="1:18" x14ac:dyDescent="0.2">
      <c r="A14" s="5"/>
      <c r="B14"/>
      <c r="C14"/>
      <c r="D14"/>
      <c r="F14"/>
      <c r="G14"/>
      <c r="H14" t="str">
        <f t="shared" si="1"/>
        <v xml:space="preserve">WASTE </v>
      </c>
      <c r="I14">
        <f t="shared" si="2"/>
        <v>-67.64</v>
      </c>
      <c r="J14">
        <f t="shared" si="0"/>
        <v>0</v>
      </c>
      <c r="K14" t="str">
        <f t="shared" si="3"/>
        <v>HIGH D</v>
      </c>
      <c r="L14" s="5"/>
      <c r="M14"/>
      <c r="N14"/>
      <c r="O14"/>
      <c r="R14"/>
    </row>
    <row r="15" spans="1:18" x14ac:dyDescent="0.2">
      <c r="A15" s="5"/>
      <c r="B15"/>
      <c r="C15"/>
      <c r="D15"/>
      <c r="F15"/>
      <c r="G15"/>
      <c r="H15" t="str">
        <f t="shared" si="1"/>
        <v>APPLE.</v>
      </c>
      <c r="I15">
        <f t="shared" si="2"/>
        <v>-2.99</v>
      </c>
      <c r="J15">
        <f t="shared" si="0"/>
        <v>0</v>
      </c>
      <c r="K15" t="str">
        <f t="shared" si="3"/>
        <v>CarMax</v>
      </c>
      <c r="L15" s="5"/>
      <c r="M15"/>
      <c r="N15"/>
      <c r="O15"/>
      <c r="Q15"/>
      <c r="R15"/>
    </row>
    <row r="16" spans="1:18" x14ac:dyDescent="0.2">
      <c r="A16" s="5"/>
      <c r="B16"/>
      <c r="C16"/>
      <c r="D16"/>
      <c r="F16"/>
      <c r="G16"/>
      <c r="H16" t="str">
        <f t="shared" si="1"/>
        <v>SPECTR</v>
      </c>
      <c r="I16">
        <f t="shared" si="2"/>
        <v>-45</v>
      </c>
      <c r="J16">
        <f t="shared" si="0"/>
        <v>0</v>
      </c>
      <c r="K16" t="str">
        <f t="shared" si="3"/>
        <v>SSA  T</v>
      </c>
      <c r="L16" s="5"/>
      <c r="M16"/>
      <c r="N16"/>
      <c r="O16"/>
      <c r="Q16"/>
      <c r="R16"/>
    </row>
    <row r="17" spans="1:18" x14ac:dyDescent="0.2">
      <c r="A17" s="5"/>
      <c r="B17"/>
      <c r="C17"/>
      <c r="D17"/>
      <c r="F17"/>
      <c r="G17"/>
      <c r="H17" t="str">
        <f t="shared" si="1"/>
        <v>STEVEN</v>
      </c>
      <c r="I17">
        <f t="shared" si="2"/>
        <v>-50</v>
      </c>
      <c r="J17">
        <f t="shared" si="0"/>
        <v>0</v>
      </c>
      <c r="K17" t="str">
        <f t="shared" si="3"/>
        <v>Patien</v>
      </c>
      <c r="L17" s="5"/>
      <c r="M17"/>
      <c r="N17"/>
      <c r="O17"/>
      <c r="Q17"/>
      <c r="R17"/>
    </row>
    <row r="18" spans="1:18" x14ac:dyDescent="0.2">
      <c r="A18" s="5"/>
      <c r="B18"/>
      <c r="C18"/>
      <c r="D18"/>
      <c r="F18"/>
      <c r="G18"/>
      <c r="H18" t="str">
        <f t="shared" si="1"/>
        <v>SPECTR</v>
      </c>
      <c r="I18">
        <f t="shared" si="2"/>
        <v>-45</v>
      </c>
      <c r="J18">
        <f t="shared" si="0"/>
        <v>0</v>
      </c>
      <c r="K18" t="str">
        <f t="shared" si="3"/>
        <v xml:space="preserve">WASTE </v>
      </c>
      <c r="L18" s="5"/>
      <c r="M18"/>
      <c r="N18"/>
      <c r="O18"/>
      <c r="Q18"/>
      <c r="R18"/>
    </row>
    <row r="19" spans="1:18" x14ac:dyDescent="0.2">
      <c r="A19" s="5"/>
      <c r="B19"/>
      <c r="C19"/>
      <c r="D19"/>
      <c r="F19"/>
      <c r="G19"/>
      <c r="H19" t="str">
        <f t="shared" si="1"/>
        <v xml:space="preserve">ADOBE </v>
      </c>
      <c r="I19">
        <f t="shared" si="2"/>
        <v>-14.99</v>
      </c>
      <c r="J19">
        <f t="shared" si="0"/>
        <v>0</v>
      </c>
      <c r="K19" t="str">
        <f t="shared" si="3"/>
        <v>FASTRA</v>
      </c>
      <c r="L19" s="5"/>
      <c r="M19"/>
      <c r="N19"/>
      <c r="O19"/>
      <c r="R19"/>
    </row>
    <row r="20" spans="1:18" x14ac:dyDescent="0.2">
      <c r="A20" s="5"/>
      <c r="H20" t="str">
        <f t="shared" si="1"/>
        <v/>
      </c>
      <c r="I20" t="e">
        <f t="shared" si="2"/>
        <v>#N/A</v>
      </c>
      <c r="J20">
        <f t="shared" si="0"/>
        <v>0</v>
      </c>
      <c r="K20" t="str">
        <f t="shared" si="3"/>
        <v>RENO E</v>
      </c>
      <c r="L20" s="5"/>
      <c r="M20"/>
      <c r="N20"/>
      <c r="O20"/>
      <c r="R20"/>
    </row>
    <row r="21" spans="1:18" x14ac:dyDescent="0.2">
      <c r="A21" s="5"/>
      <c r="H21" t="str">
        <f t="shared" si="1"/>
        <v/>
      </c>
      <c r="I21" t="e">
        <f t="shared" si="2"/>
        <v>#N/A</v>
      </c>
      <c r="J21">
        <f t="shared" si="0"/>
        <v>0</v>
      </c>
      <c r="K21" t="str">
        <f t="shared" si="3"/>
        <v>APPLE.</v>
      </c>
      <c r="L21" s="5"/>
      <c r="M21"/>
      <c r="N21"/>
      <c r="O21"/>
      <c r="Q21"/>
      <c r="R21"/>
    </row>
    <row r="22" spans="1:18" x14ac:dyDescent="0.2">
      <c r="A22" s="5"/>
      <c r="H22" t="str">
        <f t="shared" si="1"/>
        <v/>
      </c>
      <c r="I22" t="e">
        <f t="shared" si="2"/>
        <v>#N/A</v>
      </c>
      <c r="J22">
        <f t="shared" si="0"/>
        <v>0</v>
      </c>
      <c r="K22" t="str">
        <f t="shared" si="3"/>
        <v>SPECTR</v>
      </c>
      <c r="L22" s="5"/>
      <c r="M22"/>
      <c r="N22"/>
      <c r="O22"/>
      <c r="Q22"/>
      <c r="R22"/>
    </row>
    <row r="23" spans="1:18" x14ac:dyDescent="0.2">
      <c r="A23" s="5"/>
      <c r="H23" t="str">
        <f t="shared" si="1"/>
        <v/>
      </c>
      <c r="I23" t="e">
        <f t="shared" si="2"/>
        <v>#N/A</v>
      </c>
      <c r="J23">
        <f t="shared" si="0"/>
        <v>0</v>
      </c>
      <c r="K23" t="str">
        <f t="shared" si="3"/>
        <v>STEVEN</v>
      </c>
      <c r="L23" s="3"/>
      <c r="M23"/>
      <c r="N23"/>
      <c r="O23"/>
      <c r="Q23"/>
      <c r="R23"/>
    </row>
    <row r="24" spans="1:18" x14ac:dyDescent="0.2">
      <c r="A24" s="5"/>
      <c r="H24" t="str">
        <f t="shared" si="1"/>
        <v/>
      </c>
      <c r="I24" t="e">
        <f t="shared" si="2"/>
        <v>#N/A</v>
      </c>
      <c r="J24">
        <f t="shared" si="0"/>
        <v>0</v>
      </c>
      <c r="K24" t="str">
        <f t="shared" si="3"/>
        <v>SPECTR</v>
      </c>
      <c r="L24" s="3"/>
      <c r="M24"/>
      <c r="N24"/>
      <c r="O24"/>
      <c r="Q24"/>
      <c r="R24"/>
    </row>
    <row r="25" spans="1:18" x14ac:dyDescent="0.2">
      <c r="A25" s="5"/>
      <c r="H25" t="str">
        <f t="shared" si="1"/>
        <v/>
      </c>
      <c r="I25" t="e">
        <f t="shared" si="2"/>
        <v>#N/A</v>
      </c>
      <c r="J25">
        <f t="shared" si="0"/>
        <v>0</v>
      </c>
      <c r="K25" t="str">
        <f t="shared" si="3"/>
        <v>SPRING</v>
      </c>
      <c r="L25" s="5"/>
      <c r="M25"/>
      <c r="N25"/>
      <c r="O25"/>
      <c r="R25"/>
    </row>
    <row r="26" spans="1:18" x14ac:dyDescent="0.2">
      <c r="H26" t="str">
        <f t="shared" si="1"/>
        <v/>
      </c>
      <c r="I26" t="e">
        <f t="shared" si="2"/>
        <v>#N/A</v>
      </c>
      <c r="J26">
        <f t="shared" si="0"/>
        <v>0</v>
      </c>
      <c r="K26" t="str">
        <f t="shared" si="3"/>
        <v xml:space="preserve">ADOBE </v>
      </c>
      <c r="L26" s="5"/>
      <c r="M26"/>
      <c r="N26"/>
      <c r="O26"/>
      <c r="Q26"/>
      <c r="R26"/>
    </row>
    <row r="27" spans="1:18" x14ac:dyDescent="0.2">
      <c r="H27" t="str">
        <f t="shared" si="1"/>
        <v/>
      </c>
      <c r="I27" t="e">
        <f t="shared" si="2"/>
        <v>#N/A</v>
      </c>
      <c r="J27">
        <f t="shared" si="0"/>
        <v>0</v>
      </c>
      <c r="K27" t="str">
        <f t="shared" si="3"/>
        <v>FAMILY</v>
      </c>
      <c r="L27" s="5"/>
      <c r="M27"/>
      <c r="N27"/>
      <c r="O27"/>
      <c r="R27"/>
    </row>
    <row r="28" spans="1:18" x14ac:dyDescent="0.2">
      <c r="I28" t="e">
        <f t="shared" si="2"/>
        <v>#N/A</v>
      </c>
      <c r="J28">
        <f t="shared" si="0"/>
        <v>0</v>
      </c>
      <c r="K28" t="str">
        <f t="shared" si="3"/>
        <v>eBay O</v>
      </c>
      <c r="L28" s="5"/>
      <c r="M28"/>
      <c r="N28"/>
      <c r="O28"/>
      <c r="R28"/>
    </row>
    <row r="29" spans="1:18" x14ac:dyDescent="0.2">
      <c r="I29" t="e">
        <f t="shared" si="2"/>
        <v>#N/A</v>
      </c>
      <c r="J29">
        <f t="shared" si="0"/>
        <v>0</v>
      </c>
      <c r="K29" t="str">
        <f t="shared" si="3"/>
        <v>DIVIDE</v>
      </c>
      <c r="L29" s="5"/>
      <c r="M29"/>
      <c r="N29"/>
      <c r="O29"/>
      <c r="R29"/>
    </row>
    <row r="30" spans="1:18" x14ac:dyDescent="0.2">
      <c r="I30" t="e">
        <f t="shared" si="2"/>
        <v>#N/A</v>
      </c>
      <c r="J30">
        <f t="shared" si="0"/>
        <v>0</v>
      </c>
      <c r="K30" t="str">
        <f t="shared" si="3"/>
        <v>DOLLAR</v>
      </c>
      <c r="L30" s="5"/>
      <c r="M30"/>
      <c r="N30"/>
      <c r="O30"/>
      <c r="R30"/>
    </row>
    <row r="31" spans="1:18" x14ac:dyDescent="0.2">
      <c r="B31">
        <v>33.57</v>
      </c>
      <c r="D31">
        <v>3282.01</v>
      </c>
      <c r="I31" t="e">
        <f t="shared" si="2"/>
        <v>#N/A</v>
      </c>
      <c r="J31">
        <f t="shared" si="0"/>
        <v>0</v>
      </c>
      <c r="K31" t="str">
        <f t="shared" si="3"/>
        <v>RENO B</v>
      </c>
      <c r="L31" s="5"/>
      <c r="M31"/>
      <c r="N31"/>
      <c r="O31"/>
      <c r="Q31"/>
      <c r="R31"/>
    </row>
    <row r="32" spans="1:18" x14ac:dyDescent="0.2">
      <c r="B32">
        <v>2517.19</v>
      </c>
      <c r="I32" t="e">
        <f t="shared" si="2"/>
        <v>#N/A</v>
      </c>
      <c r="J32">
        <f t="shared" si="0"/>
        <v>0</v>
      </c>
      <c r="K32" t="str">
        <f t="shared" si="3"/>
        <v>BEST L</v>
      </c>
      <c r="L32" s="5"/>
      <c r="M32"/>
      <c r="N32"/>
      <c r="O32"/>
      <c r="Q32"/>
      <c r="R32"/>
    </row>
    <row r="33" spans="2:18" x14ac:dyDescent="0.2">
      <c r="B33">
        <v>609.04999999999995</v>
      </c>
      <c r="I33" t="e">
        <f t="shared" si="2"/>
        <v>#N/A</v>
      </c>
      <c r="J33">
        <f t="shared" si="0"/>
        <v>0</v>
      </c>
      <c r="K33" t="str">
        <f t="shared" si="3"/>
        <v>EPayme</v>
      </c>
      <c r="L33" s="5"/>
      <c r="M33"/>
      <c r="N33"/>
      <c r="O33"/>
      <c r="Q33"/>
      <c r="R33"/>
    </row>
    <row r="34" spans="2:18" x14ac:dyDescent="0.2">
      <c r="B34">
        <v>23.23</v>
      </c>
      <c r="D34">
        <f>D31-B36</f>
        <v>83.639999999999873</v>
      </c>
      <c r="I34" t="e">
        <f t="shared" si="2"/>
        <v>#N/A</v>
      </c>
      <c r="J34">
        <f t="shared" si="0"/>
        <v>0</v>
      </c>
      <c r="K34" t="str">
        <f t="shared" si="3"/>
        <v>NV ENE</v>
      </c>
      <c r="L34" s="5"/>
      <c r="M34"/>
      <c r="N34"/>
      <c r="O34"/>
      <c r="Q34"/>
      <c r="R34"/>
    </row>
    <row r="35" spans="2:18" x14ac:dyDescent="0.2">
      <c r="B35">
        <v>15.33</v>
      </c>
      <c r="D35">
        <f>600-D34</f>
        <v>516.36000000000013</v>
      </c>
      <c r="E35" t="s">
        <v>23</v>
      </c>
    </row>
    <row r="36" spans="2:18" x14ac:dyDescent="0.2">
      <c r="B36">
        <f>SUM(B31:B35)</f>
        <v>3198.3700000000003</v>
      </c>
    </row>
  </sheetData>
  <conditionalFormatting sqref="N1">
    <cfRule type="cellIs" dxfId="2" priority="4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Sheet3</vt:lpstr>
      <vt:lpstr>Sheet3!mandatory_2</vt:lpstr>
      <vt:lpstr>Sheet3!output</vt:lpstr>
      <vt:lpstr>Sheet1!output_4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Byrne</dc:creator>
  <cp:lastModifiedBy>John Byrne</cp:lastModifiedBy>
  <dcterms:created xsi:type="dcterms:W3CDTF">2022-04-09T21:03:52Z</dcterms:created>
  <dcterms:modified xsi:type="dcterms:W3CDTF">2022-05-05T19:39:48Z</dcterms:modified>
</cp:coreProperties>
</file>