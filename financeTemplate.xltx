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jbyrne/Dropbox/finance/"/>
    </mc:Choice>
  </mc:AlternateContent>
  <xr:revisionPtr revIDLastSave="0" documentId="13_ncr:1_{BD6E996A-2079-FC47-A8B0-DF1060CD2997}" xr6:coauthVersionLast="47" xr6:coauthVersionMax="47" xr10:uidLastSave="{00000000-0000-0000-0000-000000000000}"/>
  <bookViews>
    <workbookView xWindow="2280" yWindow="500" windowWidth="27240" windowHeight="16440" activeTab="2" xr2:uid="{535C330D-3385-BC47-B3AB-34923AEE4912}"/>
  </bookViews>
  <sheets>
    <sheet name="CashFlow" sheetId="1" r:id="rId1"/>
    <sheet name="BudgetPie" sheetId="4" r:id="rId2"/>
    <sheet name="MandatoryCalcs" sheetId="3" r:id="rId3"/>
    <sheet name="FlatNeeds10MoSavings" sheetId="5" r:id="rId4"/>
  </sheets>
  <definedNames>
    <definedName name="_xlnm._FilterDatabase" localSheetId="0" hidden="1">CashFlow!$F$1:$F$152</definedName>
    <definedName name="mandatory_2" localSheetId="2">MandatoryCalcs!$A$2:$G$19</definedName>
    <definedName name="output" localSheetId="2">MandatoryCalcs!$L$2:$R$31</definedName>
    <definedName name="output_4" localSheetId="0">CashFlow!$A$2:$G$31</definedName>
    <definedName name="pieChart" localSheetId="1">BudgetPie!$A$2:$B$12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0" i="3" l="1"/>
  <c r="J41" i="3"/>
  <c r="J42" i="3"/>
  <c r="J43" i="3"/>
  <c r="J44" i="3"/>
  <c r="J45" i="3"/>
  <c r="J46" i="3"/>
  <c r="J47" i="3"/>
  <c r="J48" i="3"/>
  <c r="J49" i="3"/>
  <c r="J50" i="3"/>
  <c r="J29" i="3"/>
  <c r="J30" i="3"/>
  <c r="J31" i="3"/>
  <c r="J32" i="3"/>
  <c r="J33" i="3"/>
  <c r="J34" i="3"/>
  <c r="J35" i="3"/>
  <c r="J36" i="3"/>
  <c r="J37" i="3"/>
  <c r="J38" i="3"/>
  <c r="J39" i="3"/>
  <c r="G16" i="5"/>
  <c r="G15" i="5"/>
  <c r="G14" i="5"/>
  <c r="B6" i="5"/>
  <c r="I151" i="1"/>
  <c r="J151" i="1"/>
  <c r="K151" i="1"/>
  <c r="I152" i="1"/>
  <c r="J152" i="1"/>
  <c r="K152" i="1"/>
  <c r="N151" i="1"/>
  <c r="O151" i="1"/>
  <c r="P151" i="1"/>
  <c r="N152" i="1"/>
  <c r="O152" i="1"/>
  <c r="P152" i="1"/>
  <c r="I37" i="1"/>
  <c r="J37" i="1"/>
  <c r="K37" i="1"/>
  <c r="I38" i="1"/>
  <c r="J38" i="1"/>
  <c r="K38" i="1"/>
  <c r="I57" i="1"/>
  <c r="J57" i="1"/>
  <c r="K57" i="1"/>
  <c r="N57" i="1"/>
  <c r="O57" i="1"/>
  <c r="P57" i="1"/>
  <c r="I58" i="1"/>
  <c r="J58" i="1"/>
  <c r="K58" i="1"/>
  <c r="N58" i="1"/>
  <c r="O58" i="1"/>
  <c r="P58" i="1"/>
  <c r="I59" i="1"/>
  <c r="J59" i="1"/>
  <c r="K59" i="1"/>
  <c r="N59" i="1"/>
  <c r="O59" i="1"/>
  <c r="P59" i="1"/>
  <c r="I60" i="1"/>
  <c r="J60" i="1"/>
  <c r="K60" i="1"/>
  <c r="N60" i="1"/>
  <c r="O60" i="1"/>
  <c r="P60" i="1"/>
  <c r="I61" i="1"/>
  <c r="J61" i="1"/>
  <c r="K61" i="1"/>
  <c r="N61" i="1"/>
  <c r="O61" i="1"/>
  <c r="P61" i="1"/>
  <c r="I62" i="1"/>
  <c r="J62" i="1"/>
  <c r="K62" i="1"/>
  <c r="N62" i="1"/>
  <c r="O62" i="1"/>
  <c r="P62" i="1"/>
  <c r="I63" i="1"/>
  <c r="J63" i="1"/>
  <c r="K63" i="1"/>
  <c r="N63" i="1"/>
  <c r="O63" i="1"/>
  <c r="P63" i="1"/>
  <c r="I64" i="1"/>
  <c r="J64" i="1"/>
  <c r="K64" i="1"/>
  <c r="N64" i="1"/>
  <c r="O64" i="1"/>
  <c r="P64" i="1"/>
  <c r="I65" i="1"/>
  <c r="J65" i="1"/>
  <c r="K65" i="1"/>
  <c r="N65" i="1"/>
  <c r="O65" i="1"/>
  <c r="P65" i="1"/>
  <c r="I66" i="1"/>
  <c r="J66" i="1"/>
  <c r="K66" i="1"/>
  <c r="N66" i="1"/>
  <c r="O66" i="1"/>
  <c r="P66" i="1"/>
  <c r="I67" i="1"/>
  <c r="J67" i="1"/>
  <c r="K67" i="1"/>
  <c r="N67" i="1"/>
  <c r="O67" i="1"/>
  <c r="P67" i="1"/>
  <c r="I68" i="1"/>
  <c r="J68" i="1"/>
  <c r="K68" i="1"/>
  <c r="N68" i="1"/>
  <c r="O68" i="1"/>
  <c r="P68" i="1"/>
  <c r="I69" i="1"/>
  <c r="J69" i="1"/>
  <c r="K69" i="1"/>
  <c r="N69" i="1"/>
  <c r="O69" i="1"/>
  <c r="P69" i="1"/>
  <c r="I70" i="1"/>
  <c r="J70" i="1"/>
  <c r="K70" i="1"/>
  <c r="N70" i="1"/>
  <c r="O70" i="1"/>
  <c r="P70" i="1"/>
  <c r="I71" i="1"/>
  <c r="J71" i="1"/>
  <c r="K71" i="1"/>
  <c r="N71" i="1"/>
  <c r="O71" i="1"/>
  <c r="P71" i="1"/>
  <c r="I72" i="1"/>
  <c r="J72" i="1"/>
  <c r="K72" i="1"/>
  <c r="N72" i="1"/>
  <c r="O72" i="1"/>
  <c r="P72" i="1"/>
  <c r="I73" i="1"/>
  <c r="J73" i="1"/>
  <c r="K73" i="1"/>
  <c r="N73" i="1"/>
  <c r="O73" i="1"/>
  <c r="P73" i="1"/>
  <c r="I74" i="1"/>
  <c r="J74" i="1"/>
  <c r="K74" i="1"/>
  <c r="N74" i="1"/>
  <c r="O74" i="1"/>
  <c r="P74" i="1"/>
  <c r="I75" i="1"/>
  <c r="J75" i="1"/>
  <c r="K75" i="1"/>
  <c r="N75" i="1"/>
  <c r="O75" i="1"/>
  <c r="P75" i="1"/>
  <c r="I76" i="1"/>
  <c r="J76" i="1"/>
  <c r="K76" i="1"/>
  <c r="N76" i="1"/>
  <c r="O76" i="1"/>
  <c r="P76" i="1"/>
  <c r="I77" i="1"/>
  <c r="J77" i="1"/>
  <c r="K77" i="1"/>
  <c r="N77" i="1"/>
  <c r="O77" i="1"/>
  <c r="P77" i="1"/>
  <c r="I78" i="1"/>
  <c r="J78" i="1"/>
  <c r="K78" i="1"/>
  <c r="N78" i="1"/>
  <c r="O78" i="1"/>
  <c r="P78" i="1"/>
  <c r="I79" i="1"/>
  <c r="J79" i="1"/>
  <c r="K79" i="1"/>
  <c r="N79" i="1"/>
  <c r="O79" i="1"/>
  <c r="P79" i="1"/>
  <c r="I80" i="1"/>
  <c r="J80" i="1"/>
  <c r="K80" i="1"/>
  <c r="N80" i="1"/>
  <c r="O80" i="1"/>
  <c r="P80" i="1"/>
  <c r="I81" i="1"/>
  <c r="J81" i="1"/>
  <c r="K81" i="1"/>
  <c r="N81" i="1"/>
  <c r="O81" i="1"/>
  <c r="P81" i="1"/>
  <c r="I82" i="1"/>
  <c r="J82" i="1"/>
  <c r="K82" i="1"/>
  <c r="N82" i="1"/>
  <c r="O82" i="1"/>
  <c r="P82" i="1"/>
  <c r="I83" i="1"/>
  <c r="J83" i="1"/>
  <c r="K83" i="1"/>
  <c r="N83" i="1"/>
  <c r="O83" i="1"/>
  <c r="P83" i="1"/>
  <c r="I84" i="1"/>
  <c r="J84" i="1"/>
  <c r="K84" i="1"/>
  <c r="N84" i="1"/>
  <c r="O84" i="1"/>
  <c r="P84" i="1"/>
  <c r="I85" i="1"/>
  <c r="J85" i="1"/>
  <c r="K85" i="1"/>
  <c r="N85" i="1"/>
  <c r="O85" i="1"/>
  <c r="P85" i="1"/>
  <c r="I86" i="1"/>
  <c r="J86" i="1"/>
  <c r="K86" i="1"/>
  <c r="N86" i="1"/>
  <c r="O86" i="1"/>
  <c r="P86" i="1"/>
  <c r="I87" i="1"/>
  <c r="J87" i="1"/>
  <c r="K87" i="1"/>
  <c r="N87" i="1"/>
  <c r="O87" i="1"/>
  <c r="P87" i="1"/>
  <c r="I88" i="1"/>
  <c r="J88" i="1"/>
  <c r="K88" i="1"/>
  <c r="N88" i="1"/>
  <c r="O88" i="1"/>
  <c r="P88" i="1"/>
  <c r="I89" i="1"/>
  <c r="J89" i="1"/>
  <c r="K89" i="1"/>
  <c r="N89" i="1"/>
  <c r="O89" i="1"/>
  <c r="P89" i="1"/>
  <c r="I90" i="1"/>
  <c r="J90" i="1"/>
  <c r="K90" i="1"/>
  <c r="N90" i="1"/>
  <c r="O90" i="1"/>
  <c r="P90" i="1"/>
  <c r="I91" i="1"/>
  <c r="J91" i="1"/>
  <c r="K91" i="1"/>
  <c r="N91" i="1"/>
  <c r="O91" i="1"/>
  <c r="P91" i="1"/>
  <c r="I92" i="1"/>
  <c r="J92" i="1"/>
  <c r="K92" i="1"/>
  <c r="N92" i="1"/>
  <c r="O92" i="1"/>
  <c r="P92" i="1"/>
  <c r="I93" i="1"/>
  <c r="J93" i="1"/>
  <c r="K93" i="1"/>
  <c r="N93" i="1"/>
  <c r="O93" i="1"/>
  <c r="P93" i="1"/>
  <c r="I94" i="1"/>
  <c r="J94" i="1"/>
  <c r="K94" i="1"/>
  <c r="N94" i="1"/>
  <c r="O94" i="1"/>
  <c r="P94" i="1"/>
  <c r="I95" i="1"/>
  <c r="J95" i="1"/>
  <c r="K95" i="1"/>
  <c r="N95" i="1"/>
  <c r="O95" i="1"/>
  <c r="P95" i="1"/>
  <c r="I96" i="1"/>
  <c r="J96" i="1"/>
  <c r="K96" i="1"/>
  <c r="N96" i="1"/>
  <c r="O96" i="1"/>
  <c r="P96" i="1"/>
  <c r="I97" i="1"/>
  <c r="J97" i="1"/>
  <c r="K97" i="1"/>
  <c r="N97" i="1"/>
  <c r="O97" i="1"/>
  <c r="P97" i="1"/>
  <c r="I98" i="1"/>
  <c r="J98" i="1"/>
  <c r="K98" i="1"/>
  <c r="N98" i="1"/>
  <c r="O98" i="1"/>
  <c r="P98" i="1"/>
  <c r="I99" i="1"/>
  <c r="J99" i="1"/>
  <c r="K99" i="1"/>
  <c r="N99" i="1"/>
  <c r="O99" i="1"/>
  <c r="P99" i="1"/>
  <c r="I100" i="1"/>
  <c r="J100" i="1"/>
  <c r="K100" i="1"/>
  <c r="N100" i="1"/>
  <c r="O100" i="1"/>
  <c r="P100" i="1"/>
  <c r="I101" i="1"/>
  <c r="J101" i="1"/>
  <c r="K101" i="1"/>
  <c r="N101" i="1"/>
  <c r="O101" i="1"/>
  <c r="P101" i="1"/>
  <c r="I102" i="1"/>
  <c r="J102" i="1"/>
  <c r="K102" i="1"/>
  <c r="N102" i="1"/>
  <c r="O102" i="1"/>
  <c r="P102" i="1"/>
  <c r="I103" i="1"/>
  <c r="J103" i="1"/>
  <c r="K103" i="1"/>
  <c r="N103" i="1"/>
  <c r="O103" i="1"/>
  <c r="P103" i="1"/>
  <c r="I104" i="1"/>
  <c r="J104" i="1"/>
  <c r="K104" i="1"/>
  <c r="N104" i="1"/>
  <c r="O104" i="1"/>
  <c r="P104" i="1"/>
  <c r="I105" i="1"/>
  <c r="J105" i="1"/>
  <c r="K105" i="1"/>
  <c r="N105" i="1"/>
  <c r="O105" i="1"/>
  <c r="P105" i="1"/>
  <c r="I106" i="1"/>
  <c r="J106" i="1"/>
  <c r="K106" i="1"/>
  <c r="N106" i="1"/>
  <c r="O106" i="1"/>
  <c r="P106" i="1"/>
  <c r="I107" i="1"/>
  <c r="J107" i="1"/>
  <c r="K107" i="1"/>
  <c r="N107" i="1"/>
  <c r="O107" i="1"/>
  <c r="P107" i="1"/>
  <c r="I108" i="1"/>
  <c r="J108" i="1"/>
  <c r="K108" i="1"/>
  <c r="N108" i="1"/>
  <c r="O108" i="1"/>
  <c r="P108" i="1"/>
  <c r="I109" i="1"/>
  <c r="J109" i="1"/>
  <c r="K109" i="1"/>
  <c r="N109" i="1"/>
  <c r="O109" i="1"/>
  <c r="P109" i="1"/>
  <c r="I110" i="1"/>
  <c r="J110" i="1"/>
  <c r="K110" i="1"/>
  <c r="N110" i="1"/>
  <c r="O110" i="1"/>
  <c r="P110" i="1"/>
  <c r="I111" i="1"/>
  <c r="J111" i="1"/>
  <c r="K111" i="1"/>
  <c r="N111" i="1"/>
  <c r="O111" i="1"/>
  <c r="P111" i="1"/>
  <c r="I112" i="1"/>
  <c r="J112" i="1"/>
  <c r="K112" i="1"/>
  <c r="N112" i="1"/>
  <c r="O112" i="1"/>
  <c r="P112" i="1"/>
  <c r="I113" i="1"/>
  <c r="J113" i="1"/>
  <c r="K113" i="1"/>
  <c r="N113" i="1"/>
  <c r="O113" i="1"/>
  <c r="P113" i="1"/>
  <c r="I114" i="1"/>
  <c r="J114" i="1"/>
  <c r="K114" i="1"/>
  <c r="N114" i="1"/>
  <c r="O114" i="1"/>
  <c r="P114" i="1"/>
  <c r="I115" i="1"/>
  <c r="J115" i="1"/>
  <c r="K115" i="1"/>
  <c r="N115" i="1"/>
  <c r="O115" i="1"/>
  <c r="P115" i="1"/>
  <c r="I116" i="1"/>
  <c r="J116" i="1"/>
  <c r="K116" i="1"/>
  <c r="N116" i="1"/>
  <c r="O116" i="1"/>
  <c r="P116" i="1"/>
  <c r="I117" i="1"/>
  <c r="J117" i="1"/>
  <c r="K117" i="1"/>
  <c r="N117" i="1"/>
  <c r="O117" i="1"/>
  <c r="P117" i="1"/>
  <c r="I118" i="1"/>
  <c r="J118" i="1"/>
  <c r="K118" i="1"/>
  <c r="N118" i="1"/>
  <c r="O118" i="1"/>
  <c r="P118" i="1"/>
  <c r="I119" i="1"/>
  <c r="J119" i="1"/>
  <c r="K119" i="1"/>
  <c r="N119" i="1"/>
  <c r="O119" i="1"/>
  <c r="P119" i="1"/>
  <c r="I120" i="1"/>
  <c r="J120" i="1"/>
  <c r="K120" i="1"/>
  <c r="N120" i="1"/>
  <c r="O120" i="1"/>
  <c r="P120" i="1"/>
  <c r="I121" i="1"/>
  <c r="J121" i="1"/>
  <c r="K121" i="1"/>
  <c r="N121" i="1"/>
  <c r="O121" i="1"/>
  <c r="P121" i="1"/>
  <c r="I122" i="1"/>
  <c r="J122" i="1"/>
  <c r="K122" i="1"/>
  <c r="N122" i="1"/>
  <c r="O122" i="1"/>
  <c r="P122" i="1"/>
  <c r="I123" i="1"/>
  <c r="J123" i="1"/>
  <c r="K123" i="1"/>
  <c r="N123" i="1"/>
  <c r="O123" i="1"/>
  <c r="P123" i="1"/>
  <c r="I124" i="1"/>
  <c r="J124" i="1"/>
  <c r="K124" i="1"/>
  <c r="N124" i="1"/>
  <c r="O124" i="1"/>
  <c r="P124" i="1"/>
  <c r="I125" i="1"/>
  <c r="J125" i="1"/>
  <c r="K125" i="1"/>
  <c r="N125" i="1"/>
  <c r="O125" i="1"/>
  <c r="P125" i="1"/>
  <c r="I126" i="1"/>
  <c r="J126" i="1"/>
  <c r="K126" i="1"/>
  <c r="N126" i="1"/>
  <c r="O126" i="1"/>
  <c r="P126" i="1"/>
  <c r="I127" i="1"/>
  <c r="J127" i="1"/>
  <c r="K127" i="1"/>
  <c r="N127" i="1"/>
  <c r="O127" i="1"/>
  <c r="P127" i="1"/>
  <c r="I128" i="1"/>
  <c r="J128" i="1"/>
  <c r="K128" i="1"/>
  <c r="N128" i="1"/>
  <c r="O128" i="1"/>
  <c r="P128" i="1"/>
  <c r="I129" i="1"/>
  <c r="J129" i="1"/>
  <c r="K129" i="1"/>
  <c r="N129" i="1"/>
  <c r="O129" i="1"/>
  <c r="P129" i="1"/>
  <c r="I130" i="1"/>
  <c r="J130" i="1"/>
  <c r="K130" i="1"/>
  <c r="N130" i="1"/>
  <c r="O130" i="1"/>
  <c r="P130" i="1"/>
  <c r="I131" i="1"/>
  <c r="J131" i="1"/>
  <c r="K131" i="1"/>
  <c r="N131" i="1"/>
  <c r="O131" i="1"/>
  <c r="P131" i="1"/>
  <c r="I132" i="1"/>
  <c r="J132" i="1"/>
  <c r="K132" i="1"/>
  <c r="N132" i="1"/>
  <c r="O132" i="1"/>
  <c r="P132" i="1"/>
  <c r="I133" i="1"/>
  <c r="J133" i="1"/>
  <c r="K133" i="1"/>
  <c r="N133" i="1"/>
  <c r="O133" i="1"/>
  <c r="P133" i="1"/>
  <c r="I134" i="1"/>
  <c r="J134" i="1"/>
  <c r="K134" i="1"/>
  <c r="N134" i="1"/>
  <c r="O134" i="1"/>
  <c r="P134" i="1"/>
  <c r="I135" i="1"/>
  <c r="J135" i="1"/>
  <c r="K135" i="1"/>
  <c r="N135" i="1"/>
  <c r="O135" i="1"/>
  <c r="P135" i="1"/>
  <c r="I136" i="1"/>
  <c r="J136" i="1"/>
  <c r="K136" i="1"/>
  <c r="N136" i="1"/>
  <c r="O136" i="1"/>
  <c r="P136" i="1"/>
  <c r="I137" i="1"/>
  <c r="J137" i="1"/>
  <c r="K137" i="1"/>
  <c r="N137" i="1"/>
  <c r="O137" i="1"/>
  <c r="P137" i="1"/>
  <c r="I138" i="1"/>
  <c r="J138" i="1"/>
  <c r="K138" i="1"/>
  <c r="N138" i="1"/>
  <c r="O138" i="1"/>
  <c r="P138" i="1"/>
  <c r="I139" i="1"/>
  <c r="J139" i="1"/>
  <c r="K139" i="1"/>
  <c r="N139" i="1"/>
  <c r="O139" i="1"/>
  <c r="P139" i="1"/>
  <c r="I140" i="1"/>
  <c r="J140" i="1"/>
  <c r="K140" i="1"/>
  <c r="N140" i="1"/>
  <c r="O140" i="1"/>
  <c r="P140" i="1"/>
  <c r="I141" i="1"/>
  <c r="J141" i="1"/>
  <c r="K141" i="1"/>
  <c r="N141" i="1"/>
  <c r="O141" i="1"/>
  <c r="P141" i="1"/>
  <c r="I142" i="1"/>
  <c r="J142" i="1"/>
  <c r="K142" i="1"/>
  <c r="N142" i="1"/>
  <c r="O142" i="1"/>
  <c r="P142" i="1"/>
  <c r="I143" i="1"/>
  <c r="J143" i="1"/>
  <c r="K143" i="1"/>
  <c r="N143" i="1"/>
  <c r="O143" i="1"/>
  <c r="P143" i="1"/>
  <c r="I144" i="1"/>
  <c r="J144" i="1"/>
  <c r="K144" i="1"/>
  <c r="N144" i="1"/>
  <c r="O144" i="1"/>
  <c r="P144" i="1"/>
  <c r="I145" i="1"/>
  <c r="J145" i="1"/>
  <c r="K145" i="1"/>
  <c r="N145" i="1"/>
  <c r="O145" i="1"/>
  <c r="P145" i="1"/>
  <c r="I146" i="1"/>
  <c r="J146" i="1"/>
  <c r="K146" i="1"/>
  <c r="N146" i="1"/>
  <c r="O146" i="1"/>
  <c r="P146" i="1"/>
  <c r="I147" i="1"/>
  <c r="J147" i="1"/>
  <c r="K147" i="1"/>
  <c r="N147" i="1"/>
  <c r="O147" i="1"/>
  <c r="P147" i="1"/>
  <c r="I148" i="1"/>
  <c r="J148" i="1"/>
  <c r="K148" i="1"/>
  <c r="N148" i="1"/>
  <c r="O148" i="1"/>
  <c r="P148" i="1"/>
  <c r="I149" i="1"/>
  <c r="J149" i="1"/>
  <c r="K149" i="1"/>
  <c r="N149" i="1"/>
  <c r="O149" i="1"/>
  <c r="P149" i="1"/>
  <c r="I150" i="1"/>
  <c r="J150" i="1"/>
  <c r="K150" i="1"/>
  <c r="N150" i="1"/>
  <c r="O150" i="1"/>
  <c r="P150" i="1"/>
  <c r="I49" i="1"/>
  <c r="J49" i="1"/>
  <c r="K49" i="1"/>
  <c r="N49" i="1"/>
  <c r="O49" i="1"/>
  <c r="P49" i="1"/>
  <c r="Q49" i="1" s="1"/>
  <c r="I50" i="1"/>
  <c r="J50" i="1"/>
  <c r="K50" i="1"/>
  <c r="N50" i="1"/>
  <c r="O50" i="1"/>
  <c r="P50" i="1"/>
  <c r="I51" i="1"/>
  <c r="J51" i="1"/>
  <c r="K51" i="1"/>
  <c r="N51" i="1"/>
  <c r="O51" i="1"/>
  <c r="P51" i="1"/>
  <c r="I52" i="1"/>
  <c r="J52" i="1"/>
  <c r="K52" i="1"/>
  <c r="N52" i="1"/>
  <c r="O52" i="1"/>
  <c r="P52" i="1"/>
  <c r="I53" i="1"/>
  <c r="J53" i="1"/>
  <c r="K53" i="1"/>
  <c r="N53" i="1"/>
  <c r="O53" i="1"/>
  <c r="P53" i="1"/>
  <c r="I54" i="1"/>
  <c r="J54" i="1"/>
  <c r="K54" i="1"/>
  <c r="N54" i="1"/>
  <c r="O54" i="1"/>
  <c r="P54" i="1"/>
  <c r="I55" i="1"/>
  <c r="J55" i="1"/>
  <c r="K55" i="1"/>
  <c r="N55" i="1"/>
  <c r="O55" i="1"/>
  <c r="P55" i="1"/>
  <c r="I56" i="1"/>
  <c r="J56" i="1"/>
  <c r="K56" i="1"/>
  <c r="N56" i="1"/>
  <c r="O56" i="1"/>
  <c r="P56" i="1"/>
  <c r="B19" i="5"/>
  <c r="F21" i="5"/>
  <c r="F20" i="5"/>
  <c r="G4" i="5"/>
  <c r="H4" i="5"/>
  <c r="D4" i="5" l="1"/>
  <c r="B4" i="5" s="1"/>
  <c r="B5" i="5" s="1"/>
  <c r="B7" i="5" s="1"/>
  <c r="B20" i="5" s="1"/>
  <c r="F4" i="5"/>
  <c r="F14" i="5" l="1"/>
  <c r="F6" i="5"/>
  <c r="F7" i="5" s="1"/>
  <c r="B10" i="5"/>
  <c r="I14" i="5"/>
  <c r="F17" i="5" s="1"/>
  <c r="G17" i="5" s="1"/>
  <c r="R37" i="1" l="1"/>
  <c r="R38" i="1"/>
  <c r="R39" i="1"/>
  <c r="R40" i="1"/>
  <c r="R41" i="1"/>
  <c r="R42" i="1"/>
  <c r="H20" i="3"/>
  <c r="H21" i="3"/>
  <c r="H22" i="3"/>
  <c r="H23" i="3"/>
  <c r="H24" i="3"/>
  <c r="H25" i="3"/>
  <c r="H26" i="3"/>
  <c r="H27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35" i="3"/>
  <c r="K36" i="3"/>
  <c r="K25" i="3"/>
  <c r="K26" i="3"/>
  <c r="K27" i="3"/>
  <c r="K28" i="3"/>
  <c r="K29" i="3"/>
  <c r="K30" i="3"/>
  <c r="K31" i="3"/>
  <c r="K32" i="3"/>
  <c r="K33" i="3"/>
  <c r="K34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" i="3"/>
  <c r="H2" i="3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O37" i="1"/>
  <c r="O38" i="1"/>
  <c r="O39" i="1"/>
  <c r="O40" i="1"/>
  <c r="O41" i="1"/>
  <c r="O42" i="1"/>
  <c r="O43" i="1"/>
  <c r="O44" i="1"/>
  <c r="O45" i="1"/>
  <c r="O46" i="1"/>
  <c r="O47" i="1"/>
  <c r="O48" i="1"/>
  <c r="N37" i="1"/>
  <c r="N38" i="1"/>
  <c r="N39" i="1"/>
  <c r="N40" i="1"/>
  <c r="N41" i="1"/>
  <c r="N42" i="1"/>
  <c r="N43" i="1"/>
  <c r="N44" i="1"/>
  <c r="N45" i="1"/>
  <c r="N46" i="1"/>
  <c r="N47" i="1"/>
  <c r="N48" i="1"/>
  <c r="K35" i="1"/>
  <c r="K36" i="1"/>
  <c r="K39" i="1"/>
  <c r="K40" i="1"/>
  <c r="K41" i="1"/>
  <c r="K42" i="1"/>
  <c r="K43" i="1"/>
  <c r="K44" i="1"/>
  <c r="K45" i="1"/>
  <c r="K46" i="1"/>
  <c r="K47" i="1"/>
  <c r="K48" i="1"/>
  <c r="J35" i="1"/>
  <c r="J36" i="1"/>
  <c r="J39" i="1"/>
  <c r="J40" i="1"/>
  <c r="J41" i="1"/>
  <c r="J42" i="1"/>
  <c r="J43" i="1"/>
  <c r="J44" i="1"/>
  <c r="J45" i="1"/>
  <c r="J46" i="1"/>
  <c r="J47" i="1"/>
  <c r="J48" i="1"/>
  <c r="I44" i="1"/>
  <c r="I45" i="1"/>
  <c r="I46" i="1"/>
  <c r="I47" i="1"/>
  <c r="I48" i="1"/>
  <c r="I35" i="1"/>
  <c r="I36" i="1"/>
  <c r="I39" i="1"/>
  <c r="I40" i="1"/>
  <c r="I41" i="1"/>
  <c r="I42" i="1"/>
  <c r="I43" i="1"/>
  <c r="O35" i="1"/>
  <c r="O32" i="1"/>
  <c r="O33" i="1"/>
  <c r="O34" i="1"/>
  <c r="O36" i="1"/>
  <c r="I28" i="3" l="1"/>
  <c r="J28" i="3" s="1"/>
  <c r="I41" i="3"/>
  <c r="I40" i="3"/>
  <c r="I39" i="3"/>
  <c r="I38" i="3"/>
  <c r="I37" i="3"/>
  <c r="I12" i="3"/>
  <c r="J12" i="3" s="1"/>
  <c r="I36" i="3"/>
  <c r="I35" i="3"/>
  <c r="B56" i="3" s="1"/>
  <c r="I50" i="3"/>
  <c r="I49" i="3"/>
  <c r="I48" i="3"/>
  <c r="I11" i="3"/>
  <c r="J11" i="3" s="1"/>
  <c r="I47" i="3"/>
  <c r="I46" i="3"/>
  <c r="I45" i="3"/>
  <c r="I44" i="3"/>
  <c r="I43" i="3"/>
  <c r="I42" i="3"/>
  <c r="I27" i="3"/>
  <c r="J27" i="3" s="1"/>
  <c r="I10" i="3"/>
  <c r="J10" i="3" s="1"/>
  <c r="I2" i="3"/>
  <c r="J2" i="3" s="1"/>
  <c r="I9" i="3"/>
  <c r="J9" i="3" s="1"/>
  <c r="I24" i="3"/>
  <c r="J24" i="3" s="1"/>
  <c r="I8" i="3"/>
  <c r="J8" i="3" s="1"/>
  <c r="I25" i="3"/>
  <c r="J25" i="3" s="1"/>
  <c r="I23" i="3"/>
  <c r="J23" i="3" s="1"/>
  <c r="I7" i="3"/>
  <c r="J7" i="3" s="1"/>
  <c r="I22" i="3"/>
  <c r="J22" i="3" s="1"/>
  <c r="I6" i="3"/>
  <c r="J6" i="3" s="1"/>
  <c r="I21" i="3"/>
  <c r="J21" i="3" s="1"/>
  <c r="I5" i="3"/>
  <c r="J5" i="3" s="1"/>
  <c r="I20" i="3"/>
  <c r="J20" i="3" s="1"/>
  <c r="I4" i="3"/>
  <c r="J4" i="3" s="1"/>
  <c r="I19" i="3"/>
  <c r="J19" i="3" s="1"/>
  <c r="I3" i="3"/>
  <c r="J3" i="3" s="1"/>
  <c r="I34" i="3"/>
  <c r="I18" i="3"/>
  <c r="J18" i="3" s="1"/>
  <c r="I33" i="3"/>
  <c r="I17" i="3"/>
  <c r="J17" i="3" s="1"/>
  <c r="I32" i="3"/>
  <c r="I16" i="3"/>
  <c r="J16" i="3" s="1"/>
  <c r="I31" i="3"/>
  <c r="I15" i="3"/>
  <c r="J15" i="3" s="1"/>
  <c r="I30" i="3"/>
  <c r="I14" i="3"/>
  <c r="J14" i="3" s="1"/>
  <c r="I29" i="3"/>
  <c r="I13" i="3"/>
  <c r="J13" i="3" s="1"/>
  <c r="I26" i="3"/>
  <c r="J26" i="3" s="1"/>
  <c r="R32" i="1"/>
  <c r="R33" i="1"/>
  <c r="R34" i="1"/>
  <c r="R35" i="1"/>
  <c r="R36" i="1"/>
  <c r="I32" i="1"/>
  <c r="J32" i="1"/>
  <c r="K32" i="1"/>
  <c r="I33" i="1"/>
  <c r="J33" i="1"/>
  <c r="K33" i="1"/>
  <c r="I34" i="1"/>
  <c r="J34" i="1"/>
  <c r="K34" i="1"/>
  <c r="R26" i="1"/>
  <c r="R27" i="1"/>
  <c r="R28" i="1"/>
  <c r="R29" i="1"/>
  <c r="R30" i="1"/>
  <c r="R31" i="1"/>
  <c r="O26" i="1"/>
  <c r="O27" i="1"/>
  <c r="O28" i="1"/>
  <c r="O29" i="1"/>
  <c r="O30" i="1"/>
  <c r="O31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R21" i="1"/>
  <c r="R22" i="1"/>
  <c r="R23" i="1"/>
  <c r="R24" i="1"/>
  <c r="R25" i="1"/>
  <c r="O21" i="1"/>
  <c r="O22" i="1"/>
  <c r="O23" i="1"/>
  <c r="O24" i="1"/>
  <c r="O25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" i="1"/>
  <c r="O20" i="1"/>
  <c r="I20" i="1"/>
  <c r="J20" i="1"/>
  <c r="K20" i="1"/>
  <c r="P22" i="1"/>
  <c r="Q22" i="1" s="1"/>
  <c r="O16" i="1"/>
  <c r="O17" i="1"/>
  <c r="O18" i="1"/>
  <c r="O19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P8" i="1"/>
  <c r="Q8" i="1" s="1"/>
  <c r="I16" i="1"/>
  <c r="J16" i="1"/>
  <c r="K16" i="1"/>
  <c r="I17" i="1"/>
  <c r="J17" i="1"/>
  <c r="K17" i="1"/>
  <c r="I18" i="1"/>
  <c r="J18" i="1"/>
  <c r="K18" i="1"/>
  <c r="I19" i="1"/>
  <c r="J19" i="1"/>
  <c r="K19" i="1"/>
  <c r="P3" i="1"/>
  <c r="Q3" i="1" s="1"/>
  <c r="P4" i="1"/>
  <c r="Q4" i="1" s="1"/>
  <c r="P5" i="1"/>
  <c r="Q5" i="1" s="1"/>
  <c r="P6" i="1"/>
  <c r="Q6" i="1" s="1"/>
  <c r="P7" i="1"/>
  <c r="Q7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2" i="1"/>
  <c r="J15" i="1"/>
  <c r="K15" i="1"/>
  <c r="N15" i="1"/>
  <c r="O15" i="1"/>
  <c r="I15" i="1"/>
  <c r="B57" i="3" l="1"/>
  <c r="D55" i="3" s="1"/>
  <c r="D56" i="3" s="1"/>
  <c r="P153" i="1"/>
  <c r="Q2" i="1"/>
  <c r="S2" i="1" s="1"/>
  <c r="T2" i="1" s="1"/>
  <c r="S3" i="1"/>
  <c r="S4" i="1" s="1"/>
  <c r="S5" i="1" s="1"/>
  <c r="S6" i="1" s="1"/>
  <c r="S7" i="1" s="1"/>
  <c r="S8" i="1" s="1"/>
  <c r="S9" i="1" s="1"/>
  <c r="I3" i="1"/>
  <c r="J3" i="1"/>
  <c r="K3" i="1"/>
  <c r="N3" i="1"/>
  <c r="O3" i="1"/>
  <c r="I4" i="1"/>
  <c r="J4" i="1"/>
  <c r="K4" i="1"/>
  <c r="N4" i="1"/>
  <c r="O4" i="1"/>
  <c r="I5" i="1"/>
  <c r="J5" i="1"/>
  <c r="K5" i="1"/>
  <c r="N5" i="1"/>
  <c r="O5" i="1"/>
  <c r="I6" i="1"/>
  <c r="J6" i="1"/>
  <c r="K6" i="1"/>
  <c r="N6" i="1"/>
  <c r="O6" i="1"/>
  <c r="I7" i="1"/>
  <c r="J7" i="1"/>
  <c r="K7" i="1"/>
  <c r="N7" i="1"/>
  <c r="O7" i="1"/>
  <c r="I8" i="1"/>
  <c r="J8" i="1"/>
  <c r="K8" i="1"/>
  <c r="N8" i="1"/>
  <c r="O8" i="1"/>
  <c r="I9" i="1"/>
  <c r="J9" i="1"/>
  <c r="K9" i="1"/>
  <c r="N9" i="1"/>
  <c r="O9" i="1"/>
  <c r="I10" i="1"/>
  <c r="J10" i="1"/>
  <c r="K10" i="1"/>
  <c r="N10" i="1"/>
  <c r="O10" i="1"/>
  <c r="I11" i="1"/>
  <c r="J11" i="1"/>
  <c r="K11" i="1"/>
  <c r="N11" i="1"/>
  <c r="O11" i="1"/>
  <c r="I12" i="1"/>
  <c r="J12" i="1"/>
  <c r="K12" i="1"/>
  <c r="N12" i="1"/>
  <c r="O12" i="1"/>
  <c r="I13" i="1"/>
  <c r="J13" i="1"/>
  <c r="K13" i="1"/>
  <c r="N13" i="1"/>
  <c r="O13" i="1"/>
  <c r="I14" i="1"/>
  <c r="J14" i="1"/>
  <c r="K14" i="1"/>
  <c r="N14" i="1"/>
  <c r="O14" i="1"/>
  <c r="O2" i="1"/>
  <c r="N2" i="1"/>
  <c r="K2" i="1"/>
  <c r="J2" i="1"/>
  <c r="I2" i="1"/>
  <c r="T3" i="1" l="1"/>
  <c r="T4" i="1"/>
  <c r="T7" i="1"/>
  <c r="T8" i="1"/>
  <c r="T5" i="1"/>
  <c r="J155" i="1"/>
  <c r="W41" i="1" s="1"/>
  <c r="V3" i="1" s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T6" i="1"/>
  <c r="S10" i="1"/>
  <c r="T9" i="1"/>
  <c r="S11" i="1" l="1"/>
  <c r="T10" i="1"/>
  <c r="S12" i="1" l="1"/>
  <c r="T11" i="1"/>
  <c r="S13" i="1" l="1"/>
  <c r="T12" i="1"/>
  <c r="S14" i="1" l="1"/>
  <c r="T13" i="1"/>
  <c r="S15" i="1" l="1"/>
  <c r="T14" i="1"/>
  <c r="S16" i="1" l="1"/>
  <c r="T15" i="1"/>
  <c r="S17" i="1" l="1"/>
  <c r="T16" i="1"/>
  <c r="S18" i="1" l="1"/>
  <c r="T17" i="1"/>
  <c r="S19" i="1" l="1"/>
  <c r="T18" i="1"/>
  <c r="S20" i="1" l="1"/>
  <c r="T19" i="1"/>
  <c r="S21" i="1" l="1"/>
  <c r="T20" i="1"/>
  <c r="S22" i="1" l="1"/>
  <c r="T21" i="1"/>
  <c r="S23" i="1" l="1"/>
  <c r="T22" i="1"/>
  <c r="S24" i="1" l="1"/>
  <c r="T23" i="1"/>
  <c r="S25" i="1" l="1"/>
  <c r="T24" i="1"/>
  <c r="S26" i="1" l="1"/>
  <c r="T25" i="1"/>
  <c r="S27" i="1" l="1"/>
  <c r="T26" i="1"/>
  <c r="S28" i="1" l="1"/>
  <c r="T27" i="1"/>
  <c r="S29" i="1" l="1"/>
  <c r="T28" i="1"/>
  <c r="S30" i="1" l="1"/>
  <c r="T29" i="1"/>
  <c r="S31" i="1" l="1"/>
  <c r="T30" i="1"/>
  <c r="S32" i="1" l="1"/>
  <c r="T31" i="1"/>
  <c r="S33" i="1" l="1"/>
  <c r="T32" i="1"/>
  <c r="S34" i="1" l="1"/>
  <c r="T33" i="1"/>
  <c r="S35" i="1" l="1"/>
  <c r="T34" i="1"/>
  <c r="S36" i="1" l="1"/>
  <c r="T35" i="1"/>
  <c r="T36" i="1" l="1"/>
  <c r="S37" i="1"/>
  <c r="T37" i="1" l="1"/>
  <c r="S38" i="1"/>
  <c r="T38" i="1" l="1"/>
  <c r="S39" i="1"/>
  <c r="S40" i="1" l="1"/>
  <c r="T39" i="1"/>
  <c r="T40" i="1" l="1"/>
  <c r="S41" i="1"/>
  <c r="S42" i="1" l="1"/>
  <c r="T42" i="1" s="1"/>
  <c r="T4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664E5D-ECE9-1243-8B90-B2BE94E9B4C5}" name="mandatory" type="6" refreshedVersion="8" background="1" saveData="1">
    <textPr sourceFile="/Users/jbyrne/Dropbox/finance/mandatory.csv" delimiter="|">
      <textFields count="7">
        <textField type="YMD"/>
        <textField/>
        <textField/>
        <textField/>
        <textField/>
        <textField/>
        <textField/>
      </textFields>
    </textPr>
  </connection>
  <connection id="2" xr16:uid="{643B10D2-76ED-704A-8EA2-FC72C90307CC}" name="output" type="6" refreshedVersion="8" background="1" saveData="1">
    <textPr sourceFile="/Users/jbyrne/Dropbox/finance/output.csv" tab="0" delimiter="|">
      <textFields count="7">
        <textField type="YMD"/>
        <textField/>
        <textField/>
        <textField/>
        <textField/>
        <textField/>
        <textField/>
      </textFields>
    </textPr>
  </connection>
  <connection id="3" xr16:uid="{2C6A425F-0B7F-AB4E-9E7A-6A03E7FA7E7E}" name="output1" type="6" refreshedVersion="8" background="1" saveData="1">
    <textPr sourceFile="/Users/jbyrne/Dropbox/finance/output.csv" tab="0" delimiter="|">
      <textFields count="7">
        <textField type="YMD"/>
        <textField/>
        <textField/>
        <textField/>
        <textField/>
        <textField/>
        <textField/>
      </textFields>
    </textPr>
  </connection>
  <connection id="4" xr16:uid="{C349CD7C-EBB0-144B-98E3-783E26585141}" name="pieChart" type="6" refreshedVersion="8" background="1" saveData="1">
    <textPr sourceFile="/Users/jbyrne/Dropbox/finance/pieChart.csv" tab="0" delimiter="|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<sst xmlns="http://schemas.openxmlformats.org/spreadsheetml/2006/main" count="70" uniqueCount="62">
  <si>
    <t>TX date</t>
  </si>
  <si>
    <t>description</t>
  </si>
  <si>
    <t>amount</t>
  </si>
  <si>
    <t>category</t>
  </si>
  <si>
    <t>xcldfromcshflow</t>
  </si>
  <si>
    <t>Mandatory</t>
  </si>
  <si>
    <t>source</t>
  </si>
  <si>
    <t>balance</t>
  </si>
  <si>
    <t>Mand amount</t>
  </si>
  <si>
    <t>StarOneTXs</t>
  </si>
  <si>
    <t>cc Txs</t>
  </si>
  <si>
    <t>Notes</t>
  </si>
  <si>
    <t>xcludeFromGraph</t>
  </si>
  <si>
    <t>Not Mand</t>
  </si>
  <si>
    <t>Amount</t>
  </si>
  <si>
    <t>Date</t>
  </si>
  <si>
    <t>Cumulative Amount Spent</t>
  </si>
  <si>
    <t>Cumulative Amount Spent +</t>
  </si>
  <si>
    <t>Cash Flow Max</t>
  </si>
  <si>
    <t>expenses only</t>
  </si>
  <si>
    <t>First TX O'mo</t>
  </si>
  <si>
    <t>Day Num</t>
  </si>
  <si>
    <t>cash flow amount</t>
  </si>
  <si>
    <t>addition from savings</t>
  </si>
  <si>
    <t>Constant (within reason Mandatory expenditures)</t>
  </si>
  <si>
    <t>Transactions</t>
  </si>
  <si>
    <t>Mandatory expenses that haven't happened</t>
  </si>
  <si>
    <t>how much will be left in checking after withdrawal</t>
  </si>
  <si>
    <t>flat rate needs</t>
  </si>
  <si>
    <t>income</t>
  </si>
  <si>
    <t>gross</t>
  </si>
  <si>
    <t>net</t>
  </si>
  <si>
    <t>SSDI</t>
  </si>
  <si>
    <t>wants</t>
  </si>
  <si>
    <t>after needs</t>
  </si>
  <si>
    <t>check</t>
  </si>
  <si>
    <t>wants percentages</t>
  </si>
  <si>
    <t>Pay off truck</t>
  </si>
  <si>
    <t>pay off taxes</t>
  </si>
  <si>
    <t>% of needs - savings</t>
  </si>
  <si>
    <t>gas/food</t>
  </si>
  <si>
    <t>tax rate</t>
  </si>
  <si>
    <t>tithe</t>
  </si>
  <si>
    <t>what's left after tithe</t>
  </si>
  <si>
    <t>Work</t>
  </si>
  <si>
    <t>left after catchup</t>
  </si>
  <si>
    <t>other fees</t>
  </si>
  <si>
    <t>approximate adjusted gross income</t>
  </si>
  <si>
    <t>60% of AGI</t>
  </si>
  <si>
    <t>Savings per month</t>
  </si>
  <si>
    <t>truck per mo</t>
  </si>
  <si>
    <t>taxes per mo</t>
  </si>
  <si>
    <t>deductions</t>
  </si>
  <si>
    <t>Fed Income Tax</t>
  </si>
  <si>
    <t>SSI</t>
  </si>
  <si>
    <t>number of months cash reserve</t>
  </si>
  <si>
    <t>wants per month</t>
  </si>
  <si>
    <t>per month</t>
  </si>
  <si>
    <t>amount in checking</t>
  </si>
  <si>
    <t>CC bill</t>
  </si>
  <si>
    <t>sum of missing mandatory TXns</t>
  </si>
  <si>
    <t>Total needed absent future discretionary TXs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</si>
</sst>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yyyy\-mm\-dd;@"/>
  </numFmts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2" fontId="0" fillId="0" borderId="0" xfId="0" applyNumberFormat="1"/>
    <xf numFmtId="22" fontId="0" fillId="0" borderId="0" xfId="0" applyNumberFormat="1"/>
    <xf numFmtId="0" fontId="0" fillId="0" borderId="0" xfId="0" applyNumberFormat="1"/>
    <xf numFmtId="0" fontId="0" fillId="2" borderId="0" xfId="0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CashFlow!$V$1</c:f>
              <c:strCache>
                <c:ptCount val="1"/>
                <c:pt idx="0">
                  <c:v>Amount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>
                  <a:outerShdw blurRad="88744" dist="147702" dir="5400000" sx="110778" sy="110778" algn="ctr" rotWithShape="0">
                    <a:srgbClr val="000000">
                      <a:alpha val="43137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913-8246-AED2-71F72D84C484}"/>
              </c:ext>
            </c:extLst>
          </c:dPt>
          <c:dPt>
            <c:idx val="3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88744" dist="147702" dir="5400000" sx="110778" sy="110778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112-0642-A300-014965141C39}"/>
              </c:ext>
            </c:extLst>
          </c:dPt>
          <c:xVal>
            <c:numRef>
              <c:f>CashFlow!$U$2:$U$42</c:f>
              <c:numCache>
                <c:formatCode>0.00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</c:numCache>
            </c:numRef>
          </c:xVal>
          <c:yVal>
            <c:numRef>
              <c:f>CashFlow!$V$2:$V$42</c:f>
              <c:numCache>
                <c:formatCode>General</c:formatCode>
                <c:ptCount val="41"/>
                <c:pt idx="0">
                  <c:v>0</c:v>
                </c:pt>
                <c:pt idx="1">
                  <c:v>46.25548387096773</c:v>
                </c:pt>
                <c:pt idx="2">
                  <c:v>92.51096774193546</c:v>
                </c:pt>
                <c:pt idx="3">
                  <c:v>138.76645161290318</c:v>
                </c:pt>
                <c:pt idx="4">
                  <c:v>185.02193548387092</c:v>
                </c:pt>
                <c:pt idx="5">
                  <c:v>231.27741935483866</c:v>
                </c:pt>
                <c:pt idx="6">
                  <c:v>277.53290322580636</c:v>
                </c:pt>
                <c:pt idx="7">
                  <c:v>323.7883870967741</c:v>
                </c:pt>
                <c:pt idx="8">
                  <c:v>370.04387096774184</c:v>
                </c:pt>
                <c:pt idx="9">
                  <c:v>416.29935483870958</c:v>
                </c:pt>
                <c:pt idx="10">
                  <c:v>462.55483870967731</c:v>
                </c:pt>
                <c:pt idx="11">
                  <c:v>508.81032258064505</c:v>
                </c:pt>
                <c:pt idx="12">
                  <c:v>555.06580645161273</c:v>
                </c:pt>
                <c:pt idx="13">
                  <c:v>601.32129032258047</c:v>
                </c:pt>
                <c:pt idx="14">
                  <c:v>647.5767741935482</c:v>
                </c:pt>
                <c:pt idx="15">
                  <c:v>693.83225806451594</c:v>
                </c:pt>
                <c:pt idx="16">
                  <c:v>740.08774193548368</c:v>
                </c:pt>
                <c:pt idx="17">
                  <c:v>786.34322580645141</c:v>
                </c:pt>
                <c:pt idx="18">
                  <c:v>832.59870967741915</c:v>
                </c:pt>
                <c:pt idx="19">
                  <c:v>878.85419354838689</c:v>
                </c:pt>
                <c:pt idx="20">
                  <c:v>925.10967741935463</c:v>
                </c:pt>
                <c:pt idx="21">
                  <c:v>971.36516129032236</c:v>
                </c:pt>
                <c:pt idx="22">
                  <c:v>1017.6206451612901</c:v>
                </c:pt>
                <c:pt idx="23">
                  <c:v>1063.8761290322577</c:v>
                </c:pt>
                <c:pt idx="24">
                  <c:v>1110.1316129032255</c:v>
                </c:pt>
                <c:pt idx="25">
                  <c:v>1156.3870967741932</c:v>
                </c:pt>
                <c:pt idx="26">
                  <c:v>1202.6425806451609</c:v>
                </c:pt>
                <c:pt idx="27">
                  <c:v>1248.8980645161287</c:v>
                </c:pt>
                <c:pt idx="28">
                  <c:v>1295.1535483870964</c:v>
                </c:pt>
                <c:pt idx="29">
                  <c:v>1341.4090322580641</c:v>
                </c:pt>
                <c:pt idx="30">
                  <c:v>1387.6645161290319</c:v>
                </c:pt>
                <c:pt idx="31">
                  <c:v>1433.9199999999996</c:v>
                </c:pt>
                <c:pt idx="32">
                  <c:v>1480.1754838709674</c:v>
                </c:pt>
                <c:pt idx="33">
                  <c:v>1526.4309677419351</c:v>
                </c:pt>
                <c:pt idx="34">
                  <c:v>1572.6864516129028</c:v>
                </c:pt>
                <c:pt idx="35">
                  <c:v>1618.9419354838706</c:v>
                </c:pt>
                <c:pt idx="36">
                  <c:v>1665.1974193548383</c:v>
                </c:pt>
                <c:pt idx="37">
                  <c:v>1711.452903225806</c:v>
                </c:pt>
                <c:pt idx="38">
                  <c:v>1757.7083870967738</c:v>
                </c:pt>
                <c:pt idx="39">
                  <c:v>1803.9638709677415</c:v>
                </c:pt>
                <c:pt idx="40">
                  <c:v>1850.2193548387093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2A42-AF13-C2DE4F0DC53C}"/>
            </c:ext>
          </c:extLst>
        </c:ser>
        <c:ser>
          <c:idx val="1"/>
          <c:order val="1"/>
          <c:tx>
            <c:v>Cumulative Amount Spent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CashFlow!$R$2:$R$41</c:f>
              <c:numCache>
                <c:formatCode>General</c:formatCode>
                <c:ptCount val="40"/>
                <c:pt idx="0">
                  <c:v>18</c:v>
                </c:pt>
                <c:pt idx="1">
                  <c:v>19</c:v>
                </c:pt>
                <c:pt idx="2">
                  <c:v>22</c:v>
                </c:pt>
                <c:pt idx="3">
                  <c:v>22</c:v>
                </c:pt>
                <c:pt idx="4">
                  <c:v>25</c:v>
                </c:pt>
                <c:pt idx="5">
                  <c:v>25</c:v>
                </c:pt>
                <c:pt idx="6">
                  <c:v>26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28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30</c:v>
                </c:pt>
                <c:pt idx="17">
                  <c:v>30</c:v>
                </c:pt>
                <c:pt idx="18">
                  <c:v>31</c:v>
                </c:pt>
                <c:pt idx="19">
                  <c:v>32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35</c:v>
                </c:pt>
                <c:pt idx="27">
                  <c:v>36</c:v>
                </c:pt>
                <c:pt idx="28">
                  <c:v>36</c:v>
                </c:pt>
                <c:pt idx="29">
                  <c:v>39</c:v>
                </c:pt>
                <c:pt idx="30">
                  <c:v>44671</c:v>
                </c:pt>
                <c:pt idx="31">
                  <c:v>44671</c:v>
                </c:pt>
                <c:pt idx="32">
                  <c:v>44671</c:v>
                </c:pt>
                <c:pt idx="33">
                  <c:v>44671</c:v>
                </c:pt>
                <c:pt idx="34">
                  <c:v>44671</c:v>
                </c:pt>
                <c:pt idx="35">
                  <c:v>44671</c:v>
                </c:pt>
                <c:pt idx="36">
                  <c:v>44671</c:v>
                </c:pt>
                <c:pt idx="37">
                  <c:v>44671</c:v>
                </c:pt>
                <c:pt idx="38">
                  <c:v>44671</c:v>
                </c:pt>
                <c:pt idx="39">
                  <c:v>44671</c:v>
                </c:pt>
              </c:numCache>
            </c:numRef>
          </c:xVal>
          <c:yVal>
            <c:numRef>
              <c:f>CashFlow!$T$2:$T$41</c:f>
              <c:numCache>
                <c:formatCode>General</c:formatCode>
                <c:ptCount val="40"/>
                <c:pt idx="0">
                  <c:v>131.36000000000001</c:v>
                </c:pt>
                <c:pt idx="1">
                  <c:v>192.07000000000002</c:v>
                </c:pt>
                <c:pt idx="2">
                  <c:v>489.40999999999997</c:v>
                </c:pt>
                <c:pt idx="3">
                  <c:v>489.40999999999997</c:v>
                </c:pt>
                <c:pt idx="4">
                  <c:v>511.33</c:v>
                </c:pt>
                <c:pt idx="5">
                  <c:v>578.97</c:v>
                </c:pt>
                <c:pt idx="6">
                  <c:v>585.97</c:v>
                </c:pt>
                <c:pt idx="7">
                  <c:v>617.71</c:v>
                </c:pt>
                <c:pt idx="8">
                  <c:v>620.70000000000005</c:v>
                </c:pt>
                <c:pt idx="9">
                  <c:v>665.7</c:v>
                </c:pt>
                <c:pt idx="10">
                  <c:v>715.7</c:v>
                </c:pt>
                <c:pt idx="11">
                  <c:v>770.69</c:v>
                </c:pt>
                <c:pt idx="12">
                  <c:v>800.69</c:v>
                </c:pt>
                <c:pt idx="13">
                  <c:v>815.68000000000006</c:v>
                </c:pt>
                <c:pt idx="14">
                  <c:v>831.38000000000011</c:v>
                </c:pt>
                <c:pt idx="15">
                  <c:v>874.17000000000007</c:v>
                </c:pt>
                <c:pt idx="16">
                  <c:v>874.17000000000007</c:v>
                </c:pt>
                <c:pt idx="17">
                  <c:v>880.17000000000007</c:v>
                </c:pt>
                <c:pt idx="18">
                  <c:v>920.17000000000007</c:v>
                </c:pt>
                <c:pt idx="19">
                  <c:v>943.40000000000009</c:v>
                </c:pt>
                <c:pt idx="20">
                  <c:v>967.59000000000015</c:v>
                </c:pt>
                <c:pt idx="21">
                  <c:v>1209.0000000000002</c:v>
                </c:pt>
                <c:pt idx="22">
                  <c:v>3726.1900000000005</c:v>
                </c:pt>
                <c:pt idx="23">
                  <c:v>3785.9300000000003</c:v>
                </c:pt>
                <c:pt idx="24">
                  <c:v>3801.26</c:v>
                </c:pt>
                <c:pt idx="25">
                  <c:v>3806.21</c:v>
                </c:pt>
                <c:pt idx="26">
                  <c:v>3830.38</c:v>
                </c:pt>
                <c:pt idx="27">
                  <c:v>3833.17</c:v>
                </c:pt>
                <c:pt idx="28">
                  <c:v>3883.17</c:v>
                </c:pt>
                <c:pt idx="29">
                  <c:v>3930.17</c:v>
                </c:pt>
                <c:pt idx="30">
                  <c:v>3930.17</c:v>
                </c:pt>
                <c:pt idx="31">
                  <c:v>3930.17</c:v>
                </c:pt>
                <c:pt idx="32">
                  <c:v>3930.17</c:v>
                </c:pt>
                <c:pt idx="33">
                  <c:v>3930.17</c:v>
                </c:pt>
                <c:pt idx="34">
                  <c:v>3930.17</c:v>
                </c:pt>
                <c:pt idx="35">
                  <c:v>3930.17</c:v>
                </c:pt>
                <c:pt idx="36">
                  <c:v>3930.17</c:v>
                </c:pt>
                <c:pt idx="37">
                  <c:v>3930.17</c:v>
                </c:pt>
                <c:pt idx="38">
                  <c:v>3930.17</c:v>
                </c:pt>
                <c:pt idx="39">
                  <c:v>3930.17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81-2A42-AF13-C2DE4F0D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436799"/>
        <c:axId val="593438447"/>
      </c:scatterChart>
      <c:valAx>
        <c:axId val="593436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8447"/>
        <c:crosses val="autoZero"/>
        <c:crossBetween val="midCat"/>
      </c:valAx>
      <c:valAx>
        <c:axId val="59343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6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F8-6E4F-834A-2FED35516D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F8-6E4F-834A-2FED35516D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F8-6E4F-834A-2FED35516D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F8-6E4F-834A-2FED35516D4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F8-6E4F-834A-2FED35516D4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1F8-6E4F-834A-2FED35516D4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1F8-6E4F-834A-2FED35516D4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1F8-6E4F-834A-2FED35516D4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1F8-6E4F-834A-2FED35516D4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1F8-6E4F-834A-2FED35516D46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1F8-6E4F-834A-2FED35516D4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BudgetPie!$A$2:$A$12</c:f>
              <c:strCache>
                <c:ptCount val="11"/>
                <c:pt idx="0">
                  <c:v>Automotive</c:v>
                </c:pt>
                <c:pt idx="1">
                  <c:v>Doctor/Hospital</c:v>
                </c:pt>
                <c:pt idx="2">
                  <c:v>Utilities : Internet</c:v>
                </c:pt>
                <c:pt idx="3">
                  <c:v>Gas</c:v>
                </c:pt>
                <c:pt idx="4">
                  <c:v>Utilities</c:v>
                </c:pt>
                <c:pt idx="5">
                  <c:v>Utilities : Electricity</c:v>
                </c:pt>
                <c:pt idx="6">
                  <c:v>clothing</c:v>
                </c:pt>
                <c:pt idx="7">
                  <c:v>Food/Groceries</c:v>
                </c:pt>
                <c:pt idx="8">
                  <c:v>Medical/Dental/Vision Insurance</c:v>
                </c:pt>
                <c:pt idx="9">
                  <c:v>Internet Service</c:v>
                </c:pt>
                <c:pt idx="10">
                  <c:v>Vacation/Travel</c:v>
                </c:pt>
              </c:strCache>
            </c:strRef>
          </c:cat>
          <c:val>
            <c:numRef>
              <c:f>BudgetPie!$B$2:$B$12</c:f>
              <c:numCache>
                <c:formatCode>General</c:formatCode>
                <c:ptCount val="11"/>
                <c:pt idx="0">
                  <c:v>-2577.9</c:v>
                </c:pt>
                <c:pt idx="1">
                  <c:v>-322.02</c:v>
                </c:pt>
                <c:pt idx="2">
                  <c:v>-124.16</c:v>
                </c:pt>
                <c:pt idx="3">
                  <c:v>-106.02</c:v>
                </c:pt>
                <c:pt idx="4">
                  <c:v>-67.64</c:v>
                </c:pt>
                <c:pt idx="5">
                  <c:v>-59.74</c:v>
                </c:pt>
                <c:pt idx="6">
                  <c:v>-42.79</c:v>
                </c:pt>
                <c:pt idx="7">
                  <c:v>-41.98</c:v>
                </c:pt>
                <c:pt idx="8">
                  <c:v>-24.19</c:v>
                </c:pt>
                <c:pt idx="9">
                  <c:v>-17.98</c:v>
                </c:pt>
                <c:pt idx="10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E-3B4B-8326-FC019A1604F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1222794</xdr:colOff>
      <xdr:row>65</xdr:row>
      <xdr:rowOff>123406</xdr:rowOff>
    </xdr:from>
    <xdr:to>
      <xdr:col>11</xdr:col>
      <xdr:colOff>54394</xdr:colOff>
      <xdr:row>97</xdr:row>
      <xdr:rowOff>161506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4C5D675-B707-6AF8-F0F5-DBA449E8E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0</xdr:row>
      <xdr:rowOff>165100</xdr:rowOff>
    </xdr:from>
    <xdr:to>
      <xdr:col>14</xdr:col>
      <xdr:colOff>152400</xdr:colOff>
      <xdr:row>32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23B2BBF-97D3-E5B2-28BB-1DF5EC22BD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_4" growShrinkType="overwriteClear" connectionId="2" xr16:uid="{6ADFBCD1-8524-FF4A-9AB7-AEE950DFD86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eChart" connectionId="4" xr16:uid="{959C4846-38B2-A149-8B62-69EF441159D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ndatory_2" growShrinkType="overwriteClear" connectionId="1" xr16:uid="{AB9DC448-5F4D-BD40-B25D-E90A9ED7921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utput" growShrinkType="overwriteClear" connectionId="3" xr16:uid="{D115B247-03E6-5145-A235-3D601E7B997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9A78-87C1-CC47-9F5F-8D11457D5A7A}">
  <dimension ref="A1:Y155"/>
  <sheetViews>
    <sheetView zoomScale="106" zoomScaleNormal="172" workbookViewId="0">
      <pane ySplit="1" topLeftCell="A2" activePane="bottomLeft" state="frozen"/>
      <selection pane="bottomLeft" activeCell="A2" sqref="A2"/>
    </sheetView>
  </sheetViews>
  <sheetFormatPr baseColWidth="10" defaultRowHeight="16" x14ac:dyDescent="0.2"/>
  <cols>
    <col min="1" max="1" width="12.5" style="3" bestFit="1" customWidth="1"/>
    <col min="2" max="2" width="50.5" bestFit="1" customWidth="1"/>
    <col min="3" max="3" width="9.5" bestFit="1" customWidth="1"/>
    <col min="4" max="4" width="28.5" bestFit="1" customWidth="1"/>
    <col min="5" max="5" width="2" bestFit="1" customWidth="1"/>
    <col min="6" max="6" width="2.83203125" bestFit="1" customWidth="1"/>
    <col min="7" max="7" width="18.1640625" bestFit="1" customWidth="1"/>
    <col min="18" max="18" width="9.33203125" bestFit="1" customWidth="1"/>
    <col min="19" max="19" width="11.1640625" customWidth="1"/>
    <col min="20" max="20" width="12" customWidth="1"/>
    <col min="21" max="21" width="10.83203125" style="4"/>
  </cols>
  <sheetData>
    <row r="1" spans="1:25" x14ac:dyDescent="0.2">
      <c r="A1" s="3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s="2" t="s">
        <v>6</v>
      </c>
      <c r="H1" s="1" t="s">
        <v>7</v>
      </c>
      <c r="I1" t="s">
        <v>8</v>
      </c>
      <c r="J1" t="s">
        <v>9</v>
      </c>
      <c r="K1" t="s">
        <v>10</v>
      </c>
      <c r="M1" t="s">
        <v>11</v>
      </c>
      <c r="N1" t="s">
        <v>12</v>
      </c>
      <c r="O1" t="s">
        <v>13</v>
      </c>
      <c r="P1" t="s">
        <v>19</v>
      </c>
      <c r="Q1" t="s">
        <v>14</v>
      </c>
      <c r="R1" t="s">
        <v>21</v>
      </c>
      <c r="S1" t="s">
        <v>16</v>
      </c>
      <c r="T1" t="s">
        <v>17</v>
      </c>
      <c r="U1" s="4" t="s">
        <v>15</v>
      </c>
      <c r="V1" t="s">
        <v>14</v>
      </c>
      <c r="X1" t="s">
        <v>20</v>
      </c>
      <c r="Y1" s="3">
        <v>44661</v>
      </c>
    </row>
    <row r="2" spans="1:25" x14ac:dyDescent="0.2">
      <c r="A2" s="5"/>
      <c r="B2"/>
      <c r="C2"/>
      <c r="D2"/>
      <c r="G2"/>
      <c r="I2">
        <f t="shared" ref="I2" si="0">IF(EXACT(F2,"M"),C2,0)</f>
        <v>0</v>
      </c>
      <c r="J2">
        <f t="shared" ref="J2" si="1">IF(EXACT(G2,"CheckingStarOneTXs"),C2,0)</f>
        <v>0</v>
      </c>
      <c r="K2">
        <f t="shared" ref="K2" si="2">IF(AND(C2&lt;0,EXACT(G2,"VisaChaseTXs")),C2,0)</f>
        <v>-131.36000000000001</v>
      </c>
      <c r="N2" t="b">
        <f>AND(IF(G2="VisaChaseTXs",TRUE,FALSE),D2="Chase CC Payment")</f>
        <v>0</v>
      </c>
      <c r="O2">
        <f>IF(EXACT(F2,""),C2,0)</f>
        <v>-131.36000000000001</v>
      </c>
      <c r="P2">
        <f>IF(AND(IF(C2&lt;0,C2,FALSE),E2&lt;&gt;"y"),C2,0)</f>
        <v>-131.36000000000001</v>
      </c>
      <c r="Q2">
        <f>P2</f>
        <v>-131.36000000000001</v>
      </c>
      <c r="R2" s="6">
        <f>ABS($Y$1-A2)+10</f>
        <v>18</v>
      </c>
      <c r="S2">
        <f>Q2</f>
        <v>-131.36000000000001</v>
      </c>
      <c r="T2">
        <f>ABS(S2)</f>
        <v>131.36000000000001</v>
      </c>
      <c r="U2" s="4">
        <v>1</v>
      </c>
      <c r="V2">
        <v>0</v>
      </c>
    </row>
    <row r="3" spans="1:25" x14ac:dyDescent="0.2">
      <c r="A3" s="5"/>
      <c r="B3"/>
      <c r="C3"/>
      <c r="D3"/>
      <c r="G3"/>
      <c r="I3">
        <f t="shared" ref="I3:I15" si="3">IF(EXACT(F3,"M"),C3,0)</f>
        <v>0</v>
      </c>
      <c r="J3">
        <f t="shared" ref="J3:J14" si="4">IF(EXACT(G3,"CheckingStarOneTXs"),C3,0)</f>
        <v>0</v>
      </c>
      <c r="K3">
        <f t="shared" ref="K3:K14" si="5">IF(AND(C3&lt;0,EXACT(G3,"VisaChaseTXs")),C3,0)</f>
        <v>-60.71</v>
      </c>
      <c r="N3" t="b">
        <f t="shared" ref="N3:N14" si="6">AND(IF(G3="VisaChaseTXs",TRUE,FALSE),D3="Chase CC Payment")</f>
        <v>0</v>
      </c>
      <c r="O3">
        <f t="shared" ref="O3:O14" si="7">IF(EXACT(F3,""),C3,0)</f>
        <v>-60.71</v>
      </c>
      <c r="P3">
        <f t="shared" ref="P3:P36" si="8">IF(AND(IF(C3&lt;0,C3,FALSE),E3&lt;&gt;"y"),C3,0)</f>
        <v>-60.71</v>
      </c>
      <c r="Q3">
        <f t="shared" ref="Q3:Q36" si="9">P3</f>
        <v>-60.71</v>
      </c>
      <c r="R3" s="6">
        <f t="shared" ref="R3:R36" si="10">ABS($Y$1-A3)+10</f>
        <v>19</v>
      </c>
      <c r="S3">
        <f t="shared" ref="S3:S36" si="11">S2+Q3</f>
        <v>-192.07000000000002</v>
      </c>
      <c r="T3">
        <f t="shared" ref="T3:T36" si="12">ABS(S3)</f>
        <v>192.07000000000002</v>
      </c>
      <c r="U3" s="4">
        <v>2</v>
      </c>
      <c r="V3">
        <f t="shared" ref="V3:V38" si="13">$W$41/31+V2</f>
        <v>46.25548387096773</v>
      </c>
    </row>
    <row r="4" spans="1:25" x14ac:dyDescent="0.2">
      <c r="A4" s="5"/>
      <c r="B4"/>
      <c r="C4"/>
      <c r="D4"/>
      <c r="F4"/>
      <c r="G4"/>
      <c r="I4">
        <f t="shared" si="3"/>
        <v>-297.33999999999997</v>
      </c>
      <c r="J4">
        <f t="shared" si="4"/>
        <v>-297.33999999999997</v>
      </c>
      <c r="K4">
        <f t="shared" si="5"/>
        <v>0</v>
      </c>
      <c r="N4" t="b">
        <f t="shared" si="6"/>
        <v>0</v>
      </c>
      <c r="O4">
        <f t="shared" si="7"/>
        <v>0</v>
      </c>
      <c r="P4">
        <f t="shared" si="8"/>
        <v>-297.33999999999997</v>
      </c>
      <c r="Q4">
        <f t="shared" si="9"/>
        <v>-297.33999999999997</v>
      </c>
      <c r="R4" s="6">
        <f t="shared" si="10"/>
        <v>22</v>
      </c>
      <c r="S4">
        <f t="shared" si="11"/>
        <v>-489.40999999999997</v>
      </c>
      <c r="T4">
        <f t="shared" si="12"/>
        <v>489.40999999999997</v>
      </c>
      <c r="U4" s="4">
        <v>3</v>
      </c>
      <c r="V4">
        <f t="shared" si="13"/>
        <v>92.51096774193546</v>
      </c>
    </row>
    <row r="5" spans="1:25" x14ac:dyDescent="0.2">
      <c r="A5" s="5"/>
      <c r="B5"/>
      <c r="C5"/>
      <c r="D5"/>
      <c r="F5"/>
      <c r="G5"/>
      <c r="I5">
        <f t="shared" si="3"/>
        <v>2378.3000000000002</v>
      </c>
      <c r="J5">
        <f t="shared" si="4"/>
        <v>2378.3000000000002</v>
      </c>
      <c r="K5">
        <f t="shared" si="5"/>
        <v>0</v>
      </c>
      <c r="N5" t="b">
        <f t="shared" si="6"/>
        <v>0</v>
      </c>
      <c r="O5">
        <f t="shared" si="7"/>
        <v>0</v>
      </c>
      <c r="P5">
        <f t="shared" si="8"/>
        <v>0</v>
      </c>
      <c r="Q5">
        <f t="shared" si="9"/>
        <v>0</v>
      </c>
      <c r="R5" s="6">
        <f t="shared" si="10"/>
        <v>22</v>
      </c>
      <c r="S5">
        <f t="shared" si="11"/>
        <v>-489.40999999999997</v>
      </c>
      <c r="T5">
        <f t="shared" si="12"/>
        <v>489.40999999999997</v>
      </c>
      <c r="U5" s="4">
        <v>4</v>
      </c>
      <c r="V5">
        <f t="shared" si="13"/>
        <v>138.76645161290318</v>
      </c>
    </row>
    <row r="6" spans="1:25" x14ac:dyDescent="0.2">
      <c r="A6" s="5"/>
      <c r="B6"/>
      <c r="C6"/>
      <c r="D6"/>
      <c r="F6"/>
      <c r="G6"/>
      <c r="I6">
        <f t="shared" si="3"/>
        <v>-21.92</v>
      </c>
      <c r="J6">
        <f t="shared" si="4"/>
        <v>-21.92</v>
      </c>
      <c r="K6">
        <f t="shared" si="5"/>
        <v>0</v>
      </c>
      <c r="N6" t="b">
        <f t="shared" si="6"/>
        <v>0</v>
      </c>
      <c r="O6">
        <f t="shared" si="7"/>
        <v>0</v>
      </c>
      <c r="P6">
        <f t="shared" si="8"/>
        <v>-21.92</v>
      </c>
      <c r="Q6">
        <f t="shared" si="9"/>
        <v>-21.92</v>
      </c>
      <c r="R6" s="6">
        <f t="shared" si="10"/>
        <v>25</v>
      </c>
      <c r="S6">
        <f t="shared" si="11"/>
        <v>-511.33</v>
      </c>
      <c r="T6">
        <f t="shared" si="12"/>
        <v>511.33</v>
      </c>
      <c r="U6" s="4">
        <v>5</v>
      </c>
      <c r="V6">
        <f t="shared" si="13"/>
        <v>185.02193548387092</v>
      </c>
    </row>
    <row r="7" spans="1:25" x14ac:dyDescent="0.2">
      <c r="A7" s="5"/>
      <c r="B7"/>
      <c r="C7"/>
      <c r="D7"/>
      <c r="F7"/>
      <c r="G7"/>
      <c r="I7">
        <f t="shared" si="3"/>
        <v>-67.64</v>
      </c>
      <c r="J7">
        <f t="shared" si="4"/>
        <v>0</v>
      </c>
      <c r="K7">
        <f t="shared" si="5"/>
        <v>-67.64</v>
      </c>
      <c r="N7" t="b">
        <f t="shared" si="6"/>
        <v>0</v>
      </c>
      <c r="O7">
        <f t="shared" si="7"/>
        <v>0</v>
      </c>
      <c r="P7">
        <f t="shared" si="8"/>
        <v>-67.64</v>
      </c>
      <c r="Q7">
        <f t="shared" si="9"/>
        <v>-67.64</v>
      </c>
      <c r="R7" s="6">
        <f t="shared" si="10"/>
        <v>25</v>
      </c>
      <c r="S7">
        <f t="shared" si="11"/>
        <v>-578.97</v>
      </c>
      <c r="T7">
        <f t="shared" si="12"/>
        <v>578.97</v>
      </c>
      <c r="U7" s="4">
        <v>6</v>
      </c>
      <c r="V7">
        <f t="shared" si="13"/>
        <v>231.27741935483866</v>
      </c>
    </row>
    <row r="8" spans="1:25" x14ac:dyDescent="0.2">
      <c r="A8" s="5"/>
      <c r="B8"/>
      <c r="C8"/>
      <c r="D8"/>
      <c r="G8"/>
      <c r="I8">
        <f t="shared" si="3"/>
        <v>0</v>
      </c>
      <c r="J8">
        <f t="shared" si="4"/>
        <v>0</v>
      </c>
      <c r="K8">
        <f t="shared" si="5"/>
        <v>-7</v>
      </c>
      <c r="N8" t="b">
        <f t="shared" si="6"/>
        <v>0</v>
      </c>
      <c r="O8">
        <f t="shared" si="7"/>
        <v>-7</v>
      </c>
      <c r="P8">
        <f>IF(AND(IF(C8&lt;0,C8,FALSE),E8&lt;&gt;"y"),C8,0)</f>
        <v>-7</v>
      </c>
      <c r="Q8">
        <f t="shared" si="9"/>
        <v>-7</v>
      </c>
      <c r="R8" s="6">
        <f t="shared" si="10"/>
        <v>26</v>
      </c>
      <c r="S8">
        <f t="shared" si="11"/>
        <v>-585.97</v>
      </c>
      <c r="T8">
        <f t="shared" si="12"/>
        <v>585.97</v>
      </c>
      <c r="U8" s="4">
        <v>7</v>
      </c>
      <c r="V8">
        <f t="shared" si="13"/>
        <v>277.53290322580636</v>
      </c>
    </row>
    <row r="9" spans="1:25" x14ac:dyDescent="0.2">
      <c r="A9" s="5"/>
      <c r="B9"/>
      <c r="C9"/>
      <c r="D9"/>
      <c r="G9"/>
      <c r="I9">
        <f t="shared" si="3"/>
        <v>0</v>
      </c>
      <c r="J9">
        <f t="shared" si="4"/>
        <v>0</v>
      </c>
      <c r="K9">
        <f t="shared" si="5"/>
        <v>-31.74</v>
      </c>
      <c r="N9" t="b">
        <f t="shared" si="6"/>
        <v>0</v>
      </c>
      <c r="O9">
        <f t="shared" si="7"/>
        <v>-31.74</v>
      </c>
      <c r="P9">
        <f t="shared" si="8"/>
        <v>-31.74</v>
      </c>
      <c r="Q9">
        <f t="shared" si="9"/>
        <v>-31.74</v>
      </c>
      <c r="R9" s="6">
        <f t="shared" si="10"/>
        <v>26</v>
      </c>
      <c r="S9">
        <f t="shared" si="11"/>
        <v>-617.71</v>
      </c>
      <c r="T9">
        <f t="shared" si="12"/>
        <v>617.71</v>
      </c>
      <c r="U9" s="4">
        <v>8</v>
      </c>
      <c r="V9">
        <f t="shared" si="13"/>
        <v>323.7883870967741</v>
      </c>
    </row>
    <row r="10" spans="1:25" x14ac:dyDescent="0.2">
      <c r="A10" s="5"/>
      <c r="B10"/>
      <c r="C10"/>
      <c r="D10"/>
      <c r="F10"/>
      <c r="G10"/>
      <c r="I10">
        <f t="shared" si="3"/>
        <v>-2.99</v>
      </c>
      <c r="J10">
        <f t="shared" si="4"/>
        <v>0</v>
      </c>
      <c r="K10">
        <f t="shared" si="5"/>
        <v>-2.99</v>
      </c>
      <c r="N10" t="b">
        <f t="shared" si="6"/>
        <v>0</v>
      </c>
      <c r="O10">
        <f t="shared" si="7"/>
        <v>0</v>
      </c>
      <c r="P10">
        <f t="shared" si="8"/>
        <v>-2.99</v>
      </c>
      <c r="Q10">
        <f t="shared" si="9"/>
        <v>-2.99</v>
      </c>
      <c r="R10" s="6">
        <f t="shared" si="10"/>
        <v>27</v>
      </c>
      <c r="S10">
        <f t="shared" si="11"/>
        <v>-620.70000000000005</v>
      </c>
      <c r="T10">
        <f t="shared" si="12"/>
        <v>620.70000000000005</v>
      </c>
      <c r="U10" s="4">
        <v>9</v>
      </c>
      <c r="V10">
        <f t="shared" si="13"/>
        <v>370.04387096774184</v>
      </c>
    </row>
    <row r="11" spans="1:25" x14ac:dyDescent="0.2">
      <c r="A11" s="5"/>
      <c r="B11"/>
      <c r="C11"/>
      <c r="D11"/>
      <c r="F11"/>
      <c r="G11"/>
      <c r="I11">
        <f t="shared" si="3"/>
        <v>-45</v>
      </c>
      <c r="J11">
        <f t="shared" si="4"/>
        <v>0</v>
      </c>
      <c r="K11">
        <f t="shared" si="5"/>
        <v>-45</v>
      </c>
      <c r="N11" t="b">
        <f t="shared" si="6"/>
        <v>0</v>
      </c>
      <c r="O11">
        <f t="shared" si="7"/>
        <v>0</v>
      </c>
      <c r="P11">
        <f t="shared" si="8"/>
        <v>-45</v>
      </c>
      <c r="Q11">
        <f t="shared" si="9"/>
        <v>-45</v>
      </c>
      <c r="R11" s="6">
        <f t="shared" si="10"/>
        <v>27</v>
      </c>
      <c r="S11">
        <f t="shared" si="11"/>
        <v>-665.7</v>
      </c>
      <c r="T11">
        <f t="shared" si="12"/>
        <v>665.7</v>
      </c>
      <c r="U11" s="4">
        <v>10</v>
      </c>
      <c r="V11">
        <f t="shared" si="13"/>
        <v>416.29935483870958</v>
      </c>
    </row>
    <row r="12" spans="1:25" x14ac:dyDescent="0.2">
      <c r="A12" s="5"/>
      <c r="B12"/>
      <c r="C12"/>
      <c r="D12"/>
      <c r="F12"/>
      <c r="G12"/>
      <c r="I12">
        <f t="shared" si="3"/>
        <v>-50</v>
      </c>
      <c r="J12">
        <f t="shared" si="4"/>
        <v>-50</v>
      </c>
      <c r="K12">
        <f t="shared" si="5"/>
        <v>0</v>
      </c>
      <c r="N12" t="b">
        <f t="shared" si="6"/>
        <v>0</v>
      </c>
      <c r="O12">
        <f t="shared" si="7"/>
        <v>0</v>
      </c>
      <c r="P12">
        <f t="shared" si="8"/>
        <v>-50</v>
      </c>
      <c r="Q12">
        <f t="shared" si="9"/>
        <v>-50</v>
      </c>
      <c r="R12" s="6">
        <f t="shared" si="10"/>
        <v>27</v>
      </c>
      <c r="S12">
        <f t="shared" si="11"/>
        <v>-715.7</v>
      </c>
      <c r="T12">
        <f t="shared" si="12"/>
        <v>715.7</v>
      </c>
      <c r="U12" s="4">
        <v>11</v>
      </c>
      <c r="V12">
        <f t="shared" si="13"/>
        <v>462.55483870967731</v>
      </c>
    </row>
    <row r="13" spans="1:25" x14ac:dyDescent="0.2">
      <c r="A13" s="5"/>
      <c r="B13"/>
      <c r="C13"/>
      <c r="D13"/>
      <c r="F13"/>
      <c r="G13"/>
      <c r="I13">
        <f t="shared" si="3"/>
        <v>-54.99</v>
      </c>
      <c r="J13">
        <f t="shared" si="4"/>
        <v>-54.99</v>
      </c>
      <c r="K13">
        <f t="shared" si="5"/>
        <v>0</v>
      </c>
      <c r="N13" t="b">
        <f t="shared" si="6"/>
        <v>0</v>
      </c>
      <c r="O13">
        <f t="shared" si="7"/>
        <v>0</v>
      </c>
      <c r="P13">
        <f t="shared" si="8"/>
        <v>-54.99</v>
      </c>
      <c r="Q13">
        <f t="shared" si="9"/>
        <v>-54.99</v>
      </c>
      <c r="R13" s="6">
        <f t="shared" si="10"/>
        <v>28</v>
      </c>
      <c r="S13">
        <f t="shared" si="11"/>
        <v>-770.69</v>
      </c>
      <c r="T13">
        <f t="shared" si="12"/>
        <v>770.69</v>
      </c>
      <c r="U13" s="4">
        <v>12</v>
      </c>
      <c r="V13">
        <f t="shared" si="13"/>
        <v>508.81032258064505</v>
      </c>
    </row>
    <row r="14" spans="1:25" x14ac:dyDescent="0.2">
      <c r="A14" s="5"/>
      <c r="B14"/>
      <c r="C14"/>
      <c r="D14"/>
      <c r="G14"/>
      <c r="I14">
        <f t="shared" si="3"/>
        <v>0</v>
      </c>
      <c r="J14">
        <f t="shared" si="4"/>
        <v>0</v>
      </c>
      <c r="K14">
        <f t="shared" si="5"/>
        <v>-30</v>
      </c>
      <c r="N14" t="b">
        <f t="shared" si="6"/>
        <v>0</v>
      </c>
      <c r="O14">
        <f t="shared" si="7"/>
        <v>-30</v>
      </c>
      <c r="P14">
        <f t="shared" si="8"/>
        <v>-30</v>
      </c>
      <c r="Q14">
        <f t="shared" si="9"/>
        <v>-30</v>
      </c>
      <c r="R14" s="6">
        <f t="shared" si="10"/>
        <v>28</v>
      </c>
      <c r="S14">
        <f t="shared" si="11"/>
        <v>-800.69</v>
      </c>
      <c r="T14">
        <f t="shared" si="12"/>
        <v>800.69</v>
      </c>
      <c r="U14" s="4">
        <v>13</v>
      </c>
      <c r="V14">
        <f t="shared" si="13"/>
        <v>555.06580645161273</v>
      </c>
    </row>
    <row r="15" spans="1:25" x14ac:dyDescent="0.2">
      <c r="A15" s="5"/>
      <c r="B15"/>
      <c r="C15"/>
      <c r="D15"/>
      <c r="F15"/>
      <c r="G15"/>
      <c r="I15">
        <f t="shared" si="3"/>
        <v>-14.99</v>
      </c>
      <c r="J15">
        <f t="shared" ref="J15" si="14">IF(EXACT(G15,"CheckingStarOneTXs"),C15,0)</f>
        <v>-14.99</v>
      </c>
      <c r="K15">
        <f t="shared" ref="K15" si="15">IF(AND(C15&lt;0,EXACT(G15,"VisaChaseTXs")),C15,0)</f>
        <v>0</v>
      </c>
      <c r="N15" t="b">
        <f t="shared" ref="N15:N48" si="16">AND(IF(G15="VisaChaseTXs",TRUE,FALSE),D15="Chase CC Payment")</f>
        <v>0</v>
      </c>
      <c r="O15">
        <f t="shared" ref="O15" si="17">IF(EXACT(F15,""),C15,0)</f>
        <v>0</v>
      </c>
      <c r="P15">
        <f t="shared" si="8"/>
        <v>-14.99</v>
      </c>
      <c r="Q15">
        <f t="shared" si="9"/>
        <v>-14.99</v>
      </c>
      <c r="R15" s="6">
        <f t="shared" si="10"/>
        <v>29</v>
      </c>
      <c r="S15">
        <f t="shared" si="11"/>
        <v>-815.68000000000006</v>
      </c>
      <c r="T15">
        <f t="shared" si="12"/>
        <v>815.68000000000006</v>
      </c>
      <c r="U15" s="4">
        <v>14</v>
      </c>
      <c r="V15">
        <f t="shared" si="13"/>
        <v>601.32129032258047</v>
      </c>
    </row>
    <row r="16" spans="1:25" x14ac:dyDescent="0.2">
      <c r="A16" s="5"/>
      <c r="B16"/>
      <c r="C16"/>
      <c r="D16"/>
      <c r="G16"/>
      <c r="I16">
        <f t="shared" ref="I16:I19" si="18">IF(EXACT(F16,"M"),C16,0)</f>
        <v>0</v>
      </c>
      <c r="J16">
        <f t="shared" ref="J16:J19" si="19">IF(EXACT(G16,"CheckingStarOneTXs"),C16,0)</f>
        <v>0</v>
      </c>
      <c r="K16">
        <f t="shared" ref="K16:K19" si="20">IF(AND(C16&lt;0,EXACT(G16,"VisaChaseTXs")),C16,0)</f>
        <v>-15.7</v>
      </c>
      <c r="N16" t="b">
        <f t="shared" si="16"/>
        <v>0</v>
      </c>
      <c r="O16">
        <f>IF(EXACT(F16,""),C16,0)</f>
        <v>-15.7</v>
      </c>
      <c r="P16">
        <f t="shared" si="8"/>
        <v>-15.7</v>
      </c>
      <c r="Q16">
        <f t="shared" si="9"/>
        <v>-15.7</v>
      </c>
      <c r="R16" s="6">
        <f t="shared" si="10"/>
        <v>29</v>
      </c>
      <c r="S16">
        <f t="shared" si="11"/>
        <v>-831.38000000000011</v>
      </c>
      <c r="T16">
        <f t="shared" si="12"/>
        <v>831.38000000000011</v>
      </c>
      <c r="U16" s="4">
        <v>15</v>
      </c>
      <c r="V16">
        <f t="shared" si="13"/>
        <v>647.5767741935482</v>
      </c>
    </row>
    <row r="17" spans="1:22" x14ac:dyDescent="0.2">
      <c r="A17" s="5"/>
      <c r="B17"/>
      <c r="C17"/>
      <c r="D17"/>
      <c r="G17"/>
      <c r="I17">
        <f t="shared" si="18"/>
        <v>0</v>
      </c>
      <c r="J17">
        <f t="shared" si="19"/>
        <v>0</v>
      </c>
      <c r="K17">
        <f t="shared" si="20"/>
        <v>-42.79</v>
      </c>
      <c r="N17" t="b">
        <f t="shared" si="16"/>
        <v>0</v>
      </c>
      <c r="O17">
        <f t="shared" ref="O17:O48" si="21">IF(EXACT(F17,""),C17,0)</f>
        <v>-42.79</v>
      </c>
      <c r="P17">
        <f t="shared" si="8"/>
        <v>-42.79</v>
      </c>
      <c r="Q17">
        <f t="shared" si="9"/>
        <v>-42.79</v>
      </c>
      <c r="R17" s="6">
        <f t="shared" si="10"/>
        <v>29</v>
      </c>
      <c r="S17">
        <f t="shared" si="11"/>
        <v>-874.17000000000007</v>
      </c>
      <c r="T17">
        <f t="shared" si="12"/>
        <v>874.17000000000007</v>
      </c>
      <c r="U17" s="4">
        <v>16</v>
      </c>
      <c r="V17">
        <f t="shared" si="13"/>
        <v>693.83225806451594</v>
      </c>
    </row>
    <row r="18" spans="1:22" x14ac:dyDescent="0.2">
      <c r="A18" s="5"/>
      <c r="B18"/>
      <c r="C18"/>
      <c r="D18"/>
      <c r="G18"/>
      <c r="I18">
        <f t="shared" si="18"/>
        <v>0</v>
      </c>
      <c r="J18">
        <f t="shared" si="19"/>
        <v>0.22</v>
      </c>
      <c r="K18">
        <f t="shared" si="20"/>
        <v>0</v>
      </c>
      <c r="N18" t="b">
        <f t="shared" si="16"/>
        <v>0</v>
      </c>
      <c r="O18">
        <f t="shared" si="21"/>
        <v>0.22</v>
      </c>
      <c r="P18">
        <f t="shared" si="8"/>
        <v>0</v>
      </c>
      <c r="Q18">
        <f t="shared" si="9"/>
        <v>0</v>
      </c>
      <c r="R18" s="6">
        <f t="shared" si="10"/>
        <v>30</v>
      </c>
      <c r="S18">
        <f t="shared" si="11"/>
        <v>-874.17000000000007</v>
      </c>
      <c r="T18">
        <f t="shared" si="12"/>
        <v>874.17000000000007</v>
      </c>
      <c r="U18" s="4">
        <v>17</v>
      </c>
      <c r="V18">
        <f t="shared" si="13"/>
        <v>740.08774193548368</v>
      </c>
    </row>
    <row r="19" spans="1:22" x14ac:dyDescent="0.2">
      <c r="A19" s="5"/>
      <c r="B19"/>
      <c r="C19"/>
      <c r="D19"/>
      <c r="G19"/>
      <c r="I19">
        <f t="shared" si="18"/>
        <v>0</v>
      </c>
      <c r="J19">
        <f t="shared" si="19"/>
        <v>0</v>
      </c>
      <c r="K19">
        <f t="shared" si="20"/>
        <v>-6</v>
      </c>
      <c r="N19" t="b">
        <f t="shared" si="16"/>
        <v>0</v>
      </c>
      <c r="O19">
        <f t="shared" si="21"/>
        <v>-6</v>
      </c>
      <c r="P19">
        <f t="shared" si="8"/>
        <v>-6</v>
      </c>
      <c r="Q19">
        <f t="shared" si="9"/>
        <v>-6</v>
      </c>
      <c r="R19" s="6">
        <f t="shared" si="10"/>
        <v>30</v>
      </c>
      <c r="S19">
        <f t="shared" si="11"/>
        <v>-880.17000000000007</v>
      </c>
      <c r="T19">
        <f t="shared" si="12"/>
        <v>880.17000000000007</v>
      </c>
      <c r="U19" s="4">
        <v>18</v>
      </c>
      <c r="V19">
        <f t="shared" si="13"/>
        <v>786.34322580645141</v>
      </c>
    </row>
    <row r="20" spans="1:22" x14ac:dyDescent="0.2">
      <c r="A20" s="5"/>
      <c r="B20"/>
      <c r="C20"/>
      <c r="D20"/>
      <c r="F20"/>
      <c r="G20"/>
      <c r="I20">
        <f t="shared" ref="I20" si="22">IF(EXACT(F20,"M"),C20,0)</f>
        <v>-40</v>
      </c>
      <c r="J20">
        <f t="shared" ref="J20" si="23">IF(EXACT(G20,"CheckingStarOneTXs"),C20,0)</f>
        <v>0</v>
      </c>
      <c r="K20">
        <f t="shared" ref="K20" si="24">IF(AND(C20&lt;0,EXACT(G20,"VisaChaseTXs")),C20,0)</f>
        <v>-40</v>
      </c>
      <c r="N20" t="b">
        <f t="shared" si="16"/>
        <v>0</v>
      </c>
      <c r="O20">
        <f t="shared" si="21"/>
        <v>0</v>
      </c>
      <c r="P20">
        <f t="shared" si="8"/>
        <v>-40</v>
      </c>
      <c r="Q20">
        <f t="shared" si="9"/>
        <v>-40</v>
      </c>
      <c r="R20" s="6">
        <f t="shared" si="10"/>
        <v>31</v>
      </c>
      <c r="S20">
        <f t="shared" si="11"/>
        <v>-920.17000000000007</v>
      </c>
      <c r="T20">
        <f t="shared" si="12"/>
        <v>920.17000000000007</v>
      </c>
      <c r="U20" s="4">
        <v>19</v>
      </c>
      <c r="V20">
        <f t="shared" si="13"/>
        <v>832.59870967741915</v>
      </c>
    </row>
    <row r="21" spans="1:22" x14ac:dyDescent="0.2">
      <c r="A21" s="5"/>
      <c r="B21"/>
      <c r="C21"/>
      <c r="D21"/>
      <c r="G21"/>
      <c r="I21">
        <f t="shared" ref="I21:I25" si="25">IF(EXACT(F21,"M"),C21,0)</f>
        <v>0</v>
      </c>
      <c r="J21">
        <f t="shared" ref="J21:J25" si="26">IF(EXACT(G21,"CheckingStarOneTXs"),C21,0)</f>
        <v>0</v>
      </c>
      <c r="K21">
        <f t="shared" ref="K21:K25" si="27">IF(AND(C21&lt;0,EXACT(G21,"VisaChaseTXs")),C21,0)</f>
        <v>-23.23</v>
      </c>
      <c r="N21" t="b">
        <f t="shared" si="16"/>
        <v>0</v>
      </c>
      <c r="O21">
        <f t="shared" si="21"/>
        <v>-23.23</v>
      </c>
      <c r="P21">
        <f t="shared" si="8"/>
        <v>-23.23</v>
      </c>
      <c r="Q21">
        <f t="shared" si="9"/>
        <v>-23.23</v>
      </c>
      <c r="R21" s="6">
        <f t="shared" si="10"/>
        <v>32</v>
      </c>
      <c r="S21">
        <f t="shared" si="11"/>
        <v>-943.40000000000009</v>
      </c>
      <c r="T21">
        <f t="shared" si="12"/>
        <v>943.40000000000009</v>
      </c>
      <c r="U21" s="4">
        <v>20</v>
      </c>
      <c r="V21">
        <f t="shared" si="13"/>
        <v>878.85419354838689</v>
      </c>
    </row>
    <row r="22" spans="1:22" x14ac:dyDescent="0.2">
      <c r="A22" s="5"/>
      <c r="B22"/>
      <c r="C22"/>
      <c r="D22"/>
      <c r="F22"/>
      <c r="G22"/>
      <c r="I22">
        <f t="shared" si="25"/>
        <v>-24.19</v>
      </c>
      <c r="J22">
        <f t="shared" si="26"/>
        <v>-24.19</v>
      </c>
      <c r="K22">
        <f t="shared" si="27"/>
        <v>0</v>
      </c>
      <c r="N22" t="b">
        <f t="shared" si="16"/>
        <v>0</v>
      </c>
      <c r="O22">
        <f t="shared" si="21"/>
        <v>0</v>
      </c>
      <c r="P22">
        <f t="shared" si="8"/>
        <v>-24.19</v>
      </c>
      <c r="Q22">
        <f t="shared" si="9"/>
        <v>-24.19</v>
      </c>
      <c r="R22" s="6">
        <f t="shared" si="10"/>
        <v>33</v>
      </c>
      <c r="S22">
        <f t="shared" si="11"/>
        <v>-967.59000000000015</v>
      </c>
      <c r="T22">
        <f t="shared" si="12"/>
        <v>967.59000000000015</v>
      </c>
      <c r="U22" s="4">
        <v>21</v>
      </c>
      <c r="V22">
        <f t="shared" si="13"/>
        <v>925.10967741935463</v>
      </c>
    </row>
    <row r="23" spans="1:22" x14ac:dyDescent="0.2">
      <c r="A23" s="5"/>
      <c r="B23"/>
      <c r="C23"/>
      <c r="D23"/>
      <c r="F23"/>
      <c r="G23"/>
      <c r="I23">
        <f t="shared" si="25"/>
        <v>-241.41</v>
      </c>
      <c r="J23">
        <f t="shared" si="26"/>
        <v>-241.41</v>
      </c>
      <c r="K23">
        <f t="shared" si="27"/>
        <v>0</v>
      </c>
      <c r="N23" t="b">
        <f t="shared" si="16"/>
        <v>0</v>
      </c>
      <c r="O23">
        <f t="shared" si="21"/>
        <v>0</v>
      </c>
      <c r="P23">
        <f t="shared" si="8"/>
        <v>-241.41</v>
      </c>
      <c r="Q23">
        <f t="shared" si="9"/>
        <v>-241.41</v>
      </c>
      <c r="R23" s="6">
        <f t="shared" si="10"/>
        <v>33</v>
      </c>
      <c r="S23">
        <f t="shared" si="11"/>
        <v>-1209.0000000000002</v>
      </c>
      <c r="T23">
        <f t="shared" si="12"/>
        <v>1209.0000000000002</v>
      </c>
      <c r="U23" s="4">
        <v>22</v>
      </c>
      <c r="V23">
        <f t="shared" si="13"/>
        <v>971.36516129032236</v>
      </c>
    </row>
    <row r="24" spans="1:22" x14ac:dyDescent="0.2">
      <c r="A24" s="5"/>
      <c r="B24"/>
      <c r="C24"/>
      <c r="D24"/>
      <c r="G24"/>
      <c r="I24">
        <f t="shared" si="25"/>
        <v>0</v>
      </c>
      <c r="J24">
        <f t="shared" si="26"/>
        <v>0</v>
      </c>
      <c r="K24">
        <f t="shared" si="27"/>
        <v>-2517.19</v>
      </c>
      <c r="N24" t="b">
        <f t="shared" si="16"/>
        <v>0</v>
      </c>
      <c r="O24">
        <f t="shared" si="21"/>
        <v>-2517.19</v>
      </c>
      <c r="P24">
        <f t="shared" si="8"/>
        <v>-2517.19</v>
      </c>
      <c r="Q24">
        <f t="shared" si="9"/>
        <v>-2517.19</v>
      </c>
      <c r="R24" s="6">
        <f t="shared" si="10"/>
        <v>33</v>
      </c>
      <c r="S24">
        <f t="shared" si="11"/>
        <v>-3726.1900000000005</v>
      </c>
      <c r="T24">
        <f t="shared" si="12"/>
        <v>3726.1900000000005</v>
      </c>
      <c r="U24" s="4">
        <v>23</v>
      </c>
      <c r="V24">
        <f t="shared" si="13"/>
        <v>1017.6206451612901</v>
      </c>
    </row>
    <row r="25" spans="1:22" x14ac:dyDescent="0.2">
      <c r="A25" s="5"/>
      <c r="B25"/>
      <c r="C25"/>
      <c r="D25"/>
      <c r="F25"/>
      <c r="G25"/>
      <c r="I25">
        <f t="shared" si="25"/>
        <v>-59.74</v>
      </c>
      <c r="J25">
        <f t="shared" si="26"/>
        <v>-59.74</v>
      </c>
      <c r="K25">
        <f t="shared" si="27"/>
        <v>0</v>
      </c>
      <c r="N25" t="b">
        <f t="shared" si="16"/>
        <v>0</v>
      </c>
      <c r="O25">
        <f t="shared" si="21"/>
        <v>0</v>
      </c>
      <c r="P25">
        <f t="shared" si="8"/>
        <v>-59.74</v>
      </c>
      <c r="Q25">
        <f t="shared" si="9"/>
        <v>-59.74</v>
      </c>
      <c r="R25" s="6">
        <f t="shared" si="10"/>
        <v>33</v>
      </c>
      <c r="S25">
        <f t="shared" si="11"/>
        <v>-3785.9300000000003</v>
      </c>
      <c r="T25">
        <f t="shared" si="12"/>
        <v>3785.9300000000003</v>
      </c>
      <c r="U25" s="4">
        <v>24</v>
      </c>
      <c r="V25">
        <f t="shared" si="13"/>
        <v>1063.8761290322577</v>
      </c>
    </row>
    <row r="26" spans="1:22" x14ac:dyDescent="0.2">
      <c r="A26" s="5"/>
      <c r="B26"/>
      <c r="C26"/>
      <c r="D26"/>
      <c r="G26"/>
      <c r="I26">
        <f t="shared" ref="I26:I31" si="28">IF(EXACT(F26,"M"),C26,0)</f>
        <v>0</v>
      </c>
      <c r="J26">
        <f t="shared" ref="J26:J31" si="29">IF(EXACT(G26,"CheckingStarOneTXs"),C26,0)</f>
        <v>0</v>
      </c>
      <c r="K26">
        <f t="shared" ref="K26:K31" si="30">IF(AND(C26&lt;0,EXACT(G26,"VisaChaseTXs")),C26,0)</f>
        <v>-15.33</v>
      </c>
      <c r="N26" t="b">
        <f t="shared" si="16"/>
        <v>0</v>
      </c>
      <c r="O26">
        <f t="shared" si="21"/>
        <v>-15.33</v>
      </c>
      <c r="P26">
        <f t="shared" si="8"/>
        <v>-15.33</v>
      </c>
      <c r="Q26">
        <f t="shared" si="9"/>
        <v>-15.33</v>
      </c>
      <c r="R26" s="6">
        <f t="shared" si="10"/>
        <v>34</v>
      </c>
      <c r="S26">
        <f t="shared" si="11"/>
        <v>-3801.26</v>
      </c>
      <c r="T26">
        <f t="shared" si="12"/>
        <v>3801.26</v>
      </c>
      <c r="U26" s="4">
        <v>25</v>
      </c>
      <c r="V26">
        <f t="shared" si="13"/>
        <v>1110.1316129032255</v>
      </c>
    </row>
    <row r="27" spans="1:22" x14ac:dyDescent="0.2">
      <c r="A27" s="5"/>
      <c r="B27"/>
      <c r="C27"/>
      <c r="D27"/>
      <c r="G27"/>
      <c r="I27">
        <f t="shared" si="28"/>
        <v>0</v>
      </c>
      <c r="J27">
        <f t="shared" si="29"/>
        <v>0</v>
      </c>
      <c r="K27">
        <f t="shared" si="30"/>
        <v>-4.95</v>
      </c>
      <c r="N27" t="b">
        <f t="shared" si="16"/>
        <v>0</v>
      </c>
      <c r="O27">
        <f t="shared" si="21"/>
        <v>-4.95</v>
      </c>
      <c r="P27">
        <f t="shared" si="8"/>
        <v>-4.95</v>
      </c>
      <c r="Q27">
        <f t="shared" si="9"/>
        <v>-4.95</v>
      </c>
      <c r="R27" s="6">
        <f t="shared" si="10"/>
        <v>35</v>
      </c>
      <c r="S27">
        <f t="shared" si="11"/>
        <v>-3806.21</v>
      </c>
      <c r="T27">
        <f t="shared" si="12"/>
        <v>3806.21</v>
      </c>
      <c r="U27" s="4">
        <v>26</v>
      </c>
      <c r="V27">
        <f t="shared" si="13"/>
        <v>1156.3870967741932</v>
      </c>
    </row>
    <row r="28" spans="1:22" x14ac:dyDescent="0.2">
      <c r="A28" s="5"/>
      <c r="B28"/>
      <c r="C28"/>
      <c r="D28"/>
      <c r="F28"/>
      <c r="G28"/>
      <c r="I28">
        <f t="shared" si="28"/>
        <v>-24.17</v>
      </c>
      <c r="J28">
        <f t="shared" si="29"/>
        <v>0</v>
      </c>
      <c r="K28">
        <f t="shared" si="30"/>
        <v>-24.17</v>
      </c>
      <c r="N28" t="b">
        <f t="shared" si="16"/>
        <v>0</v>
      </c>
      <c r="O28">
        <f t="shared" si="21"/>
        <v>0</v>
      </c>
      <c r="P28">
        <f t="shared" si="8"/>
        <v>-24.17</v>
      </c>
      <c r="Q28">
        <f t="shared" si="9"/>
        <v>-24.17</v>
      </c>
      <c r="R28" s="6">
        <f t="shared" si="10"/>
        <v>35</v>
      </c>
      <c r="S28">
        <f t="shared" si="11"/>
        <v>-3830.38</v>
      </c>
      <c r="T28">
        <f t="shared" si="12"/>
        <v>3830.38</v>
      </c>
      <c r="U28" s="4">
        <v>27</v>
      </c>
      <c r="V28">
        <f t="shared" si="13"/>
        <v>1202.6425806451609</v>
      </c>
    </row>
    <row r="29" spans="1:22" x14ac:dyDescent="0.2">
      <c r="A29" s="5"/>
      <c r="B29"/>
      <c r="C29"/>
      <c r="D29"/>
      <c r="G29"/>
      <c r="I29">
        <f t="shared" si="28"/>
        <v>0</v>
      </c>
      <c r="J29">
        <f t="shared" si="29"/>
        <v>0</v>
      </c>
      <c r="K29">
        <f t="shared" si="30"/>
        <v>-2.79</v>
      </c>
      <c r="N29" t="b">
        <f t="shared" si="16"/>
        <v>0</v>
      </c>
      <c r="O29">
        <f t="shared" si="21"/>
        <v>-2.79</v>
      </c>
      <c r="P29">
        <f t="shared" si="8"/>
        <v>-2.79</v>
      </c>
      <c r="Q29">
        <f t="shared" si="9"/>
        <v>-2.79</v>
      </c>
      <c r="R29" s="6">
        <f t="shared" si="10"/>
        <v>36</v>
      </c>
      <c r="S29">
        <f t="shared" si="11"/>
        <v>-3833.17</v>
      </c>
      <c r="T29">
        <f t="shared" si="12"/>
        <v>3833.17</v>
      </c>
      <c r="U29" s="4">
        <v>28</v>
      </c>
      <c r="V29">
        <f t="shared" si="13"/>
        <v>1248.8980645161287</v>
      </c>
    </row>
    <row r="30" spans="1:22" x14ac:dyDescent="0.2">
      <c r="A30" s="5"/>
      <c r="B30"/>
      <c r="C30"/>
      <c r="D30"/>
      <c r="G30"/>
      <c r="I30">
        <f t="shared" si="28"/>
        <v>0</v>
      </c>
      <c r="J30">
        <f t="shared" si="29"/>
        <v>0</v>
      </c>
      <c r="K30">
        <f t="shared" si="30"/>
        <v>-50</v>
      </c>
      <c r="N30" t="b">
        <f t="shared" si="16"/>
        <v>0</v>
      </c>
      <c r="O30">
        <f t="shared" si="21"/>
        <v>-50</v>
      </c>
      <c r="P30">
        <f t="shared" si="8"/>
        <v>-50</v>
      </c>
      <c r="Q30">
        <f t="shared" si="9"/>
        <v>-50</v>
      </c>
      <c r="R30" s="6">
        <f t="shared" si="10"/>
        <v>36</v>
      </c>
      <c r="S30">
        <f t="shared" si="11"/>
        <v>-3883.17</v>
      </c>
      <c r="T30">
        <f t="shared" si="12"/>
        <v>3883.17</v>
      </c>
      <c r="U30" s="4">
        <v>29</v>
      </c>
      <c r="V30">
        <f t="shared" si="13"/>
        <v>1295.1535483870964</v>
      </c>
    </row>
    <row r="31" spans="1:22" x14ac:dyDescent="0.2">
      <c r="A31" s="5"/>
      <c r="B31"/>
      <c r="C31"/>
      <c r="D31"/>
      <c r="G31"/>
      <c r="I31">
        <f t="shared" si="28"/>
        <v>0</v>
      </c>
      <c r="J31">
        <f t="shared" si="29"/>
        <v>0</v>
      </c>
      <c r="K31">
        <f t="shared" si="30"/>
        <v>-47</v>
      </c>
      <c r="N31" t="b">
        <f t="shared" si="16"/>
        <v>0</v>
      </c>
      <c r="O31">
        <f t="shared" si="21"/>
        <v>-47</v>
      </c>
      <c r="P31">
        <f t="shared" si="8"/>
        <v>-47</v>
      </c>
      <c r="Q31">
        <f t="shared" si="9"/>
        <v>-47</v>
      </c>
      <c r="R31" s="6">
        <f>ABS($Y$1-A31)+10</f>
        <v>39</v>
      </c>
      <c r="S31">
        <f t="shared" si="11"/>
        <v>-3930.17</v>
      </c>
      <c r="T31">
        <f t="shared" si="12"/>
        <v>3930.17</v>
      </c>
      <c r="U31" s="4">
        <v>30</v>
      </c>
      <c r="V31">
        <f t="shared" si="13"/>
        <v>1341.4090322580641</v>
      </c>
    </row>
    <row r="32" spans="1:22" x14ac:dyDescent="0.2">
      <c r="A32" s="5"/>
      <c r="I32">
        <f t="shared" ref="I32:I48" si="31">IF(EXACT(F32,"M"),C32,0)</f>
        <v>0</v>
      </c>
      <c r="J32">
        <f t="shared" ref="J32:J48" si="32">IF(EXACT(G32,"CheckingStarOneTXs"),C32,0)</f>
        <v>0</v>
      </c>
      <c r="K32">
        <f t="shared" ref="K32:K48" si="33">IF(AND(C32&lt;0,EXACT(G32,"VisaChaseTXs")),C32,0)</f>
        <v>0</v>
      </c>
      <c r="N32" t="b">
        <f t="shared" si="16"/>
        <v>0</v>
      </c>
      <c r="O32">
        <f t="shared" si="21"/>
        <v>0</v>
      </c>
      <c r="P32">
        <f t="shared" si="8"/>
        <v>0</v>
      </c>
      <c r="Q32">
        <f t="shared" si="9"/>
        <v>0</v>
      </c>
      <c r="R32" s="6">
        <f t="shared" si="10"/>
        <v>44671</v>
      </c>
      <c r="S32">
        <f t="shared" si="11"/>
        <v>-3930.17</v>
      </c>
      <c r="T32">
        <f t="shared" si="12"/>
        <v>3930.17</v>
      </c>
      <c r="U32" s="4">
        <v>31</v>
      </c>
      <c r="V32">
        <f t="shared" si="13"/>
        <v>1387.6645161290319</v>
      </c>
    </row>
    <row r="33" spans="1:23" x14ac:dyDescent="0.2">
      <c r="I33">
        <f t="shared" si="31"/>
        <v>0</v>
      </c>
      <c r="J33">
        <f t="shared" si="32"/>
        <v>0</v>
      </c>
      <c r="K33">
        <f t="shared" si="33"/>
        <v>0</v>
      </c>
      <c r="N33" t="b">
        <f t="shared" si="16"/>
        <v>0</v>
      </c>
      <c r="O33">
        <f t="shared" si="21"/>
        <v>0</v>
      </c>
      <c r="P33">
        <f t="shared" si="8"/>
        <v>0</v>
      </c>
      <c r="Q33">
        <f t="shared" si="9"/>
        <v>0</v>
      </c>
      <c r="R33" s="6">
        <f t="shared" si="10"/>
        <v>44671</v>
      </c>
      <c r="S33">
        <f t="shared" si="11"/>
        <v>-3930.17</v>
      </c>
      <c r="T33">
        <f t="shared" si="12"/>
        <v>3930.17</v>
      </c>
      <c r="U33" s="4">
        <v>32</v>
      </c>
      <c r="V33">
        <f t="shared" si="13"/>
        <v>1433.9199999999996</v>
      </c>
    </row>
    <row r="34" spans="1:23" x14ac:dyDescent="0.2">
      <c r="I34">
        <f t="shared" si="31"/>
        <v>0</v>
      </c>
      <c r="J34">
        <f t="shared" si="32"/>
        <v>0</v>
      </c>
      <c r="K34">
        <f t="shared" si="33"/>
        <v>0</v>
      </c>
      <c r="N34" t="b">
        <f t="shared" si="16"/>
        <v>0</v>
      </c>
      <c r="O34">
        <f t="shared" si="21"/>
        <v>0</v>
      </c>
      <c r="P34">
        <f t="shared" si="8"/>
        <v>0</v>
      </c>
      <c r="Q34">
        <f t="shared" si="9"/>
        <v>0</v>
      </c>
      <c r="R34" s="6">
        <f t="shared" si="10"/>
        <v>44671</v>
      </c>
      <c r="S34">
        <f t="shared" si="11"/>
        <v>-3930.17</v>
      </c>
      <c r="T34">
        <f t="shared" si="12"/>
        <v>3930.17</v>
      </c>
      <c r="U34" s="4">
        <v>33</v>
      </c>
      <c r="V34">
        <f t="shared" si="13"/>
        <v>1480.1754838709674</v>
      </c>
    </row>
    <row r="35" spans="1:23" x14ac:dyDescent="0.2">
      <c r="A35" s="5"/>
      <c r="I35">
        <f t="shared" si="31"/>
        <v>0</v>
      </c>
      <c r="J35">
        <f t="shared" si="32"/>
        <v>0</v>
      </c>
      <c r="K35">
        <f t="shared" si="33"/>
        <v>0</v>
      </c>
      <c r="N35" t="b">
        <f t="shared" si="16"/>
        <v>0</v>
      </c>
      <c r="O35">
        <f>IF(EXACT(F35,""),C35,0)</f>
        <v>0</v>
      </c>
      <c r="P35">
        <f t="shared" si="8"/>
        <v>0</v>
      </c>
      <c r="Q35">
        <f t="shared" si="9"/>
        <v>0</v>
      </c>
      <c r="R35" s="6">
        <f t="shared" si="10"/>
        <v>44671</v>
      </c>
      <c r="S35">
        <f t="shared" si="11"/>
        <v>-3930.17</v>
      </c>
      <c r="T35">
        <f t="shared" si="12"/>
        <v>3930.17</v>
      </c>
      <c r="U35" s="4">
        <v>34</v>
      </c>
      <c r="V35">
        <f t="shared" si="13"/>
        <v>1526.4309677419351</v>
      </c>
    </row>
    <row r="36" spans="1:23" x14ac:dyDescent="0.2">
      <c r="A36" s="5"/>
      <c r="I36">
        <f t="shared" si="31"/>
        <v>0</v>
      </c>
      <c r="J36">
        <f t="shared" si="32"/>
        <v>0</v>
      </c>
      <c r="K36">
        <f t="shared" si="33"/>
        <v>0</v>
      </c>
      <c r="N36" t="b">
        <f t="shared" si="16"/>
        <v>0</v>
      </c>
      <c r="O36">
        <f t="shared" si="21"/>
        <v>0</v>
      </c>
      <c r="P36">
        <f t="shared" si="8"/>
        <v>0</v>
      </c>
      <c r="Q36">
        <f t="shared" si="9"/>
        <v>0</v>
      </c>
      <c r="R36" s="6">
        <f t="shared" si="10"/>
        <v>44671</v>
      </c>
      <c r="S36">
        <f t="shared" si="11"/>
        <v>-3930.17</v>
      </c>
      <c r="T36">
        <f t="shared" si="12"/>
        <v>3930.17</v>
      </c>
      <c r="U36" s="4">
        <v>35</v>
      </c>
      <c r="V36">
        <f t="shared" si="13"/>
        <v>1572.6864516129028</v>
      </c>
    </row>
    <row r="37" spans="1:23" x14ac:dyDescent="0.2">
      <c r="A37" s="5"/>
      <c r="I37">
        <f t="shared" ref="I37:I38" si="34">IF(EXACT(F37,"M"),C37,0)</f>
        <v>0</v>
      </c>
      <c r="J37">
        <f t="shared" ref="J37:J38" si="35">IF(EXACT(G37,"CheckingStarOneTXs"),C37,0)</f>
        <v>0</v>
      </c>
      <c r="K37">
        <f t="shared" ref="K37:K38" si="36">IF(AND(C37&lt;0,EXACT(G37,"VisaChaseTXs")),C37,0)</f>
        <v>0</v>
      </c>
      <c r="N37" t="b">
        <f t="shared" si="16"/>
        <v>0</v>
      </c>
      <c r="O37">
        <f>IF(EXACT(F37,""),C37,0)</f>
        <v>0</v>
      </c>
      <c r="P37">
        <f t="shared" ref="P37:P48" si="37">IF(AND(IF(C37&lt;0,C37,FALSE),E37&lt;&gt;"y"),C37,0)</f>
        <v>0</v>
      </c>
      <c r="Q37">
        <f t="shared" ref="Q37:Q49" si="38">P37</f>
        <v>0</v>
      </c>
      <c r="R37" s="6">
        <f t="shared" ref="R37:R42" si="39">ABS($Y$1-A37)+10</f>
        <v>44671</v>
      </c>
      <c r="S37">
        <f t="shared" ref="S37:S42" si="40">S36+Q37</f>
        <v>-3930.17</v>
      </c>
      <c r="T37">
        <f t="shared" ref="T37:T42" si="41">ABS(S37)</f>
        <v>3930.17</v>
      </c>
      <c r="U37" s="4">
        <v>36</v>
      </c>
      <c r="V37">
        <f t="shared" si="13"/>
        <v>1618.9419354838706</v>
      </c>
    </row>
    <row r="38" spans="1:23" x14ac:dyDescent="0.2">
      <c r="A38" s="5"/>
      <c r="I38">
        <f t="shared" si="34"/>
        <v>0</v>
      </c>
      <c r="J38">
        <f t="shared" si="35"/>
        <v>0</v>
      </c>
      <c r="K38">
        <f t="shared" si="36"/>
        <v>0</v>
      </c>
      <c r="N38" t="b">
        <f t="shared" si="16"/>
        <v>0</v>
      </c>
      <c r="O38">
        <f t="shared" si="21"/>
        <v>0</v>
      </c>
      <c r="P38">
        <f t="shared" si="37"/>
        <v>0</v>
      </c>
      <c r="Q38">
        <f t="shared" si="38"/>
        <v>0</v>
      </c>
      <c r="R38" s="6">
        <f t="shared" si="39"/>
        <v>44671</v>
      </c>
      <c r="S38">
        <f t="shared" si="40"/>
        <v>-3930.17</v>
      </c>
      <c r="T38">
        <f t="shared" si="41"/>
        <v>3930.17</v>
      </c>
      <c r="U38" s="4">
        <v>37</v>
      </c>
      <c r="V38">
        <f t="shared" si="13"/>
        <v>1665.1974193548383</v>
      </c>
    </row>
    <row r="39" spans="1:23" x14ac:dyDescent="0.2">
      <c r="A39" s="5"/>
      <c r="I39">
        <f t="shared" si="31"/>
        <v>0</v>
      </c>
      <c r="J39">
        <f t="shared" si="32"/>
        <v>0</v>
      </c>
      <c r="K39">
        <f t="shared" si="33"/>
        <v>0</v>
      </c>
      <c r="N39" t="b">
        <f t="shared" si="16"/>
        <v>0</v>
      </c>
      <c r="O39">
        <f t="shared" si="21"/>
        <v>0</v>
      </c>
      <c r="P39">
        <f t="shared" si="37"/>
        <v>0</v>
      </c>
      <c r="Q39">
        <f t="shared" si="38"/>
        <v>0</v>
      </c>
      <c r="R39" s="6">
        <f t="shared" si="39"/>
        <v>44671</v>
      </c>
      <c r="S39">
        <f t="shared" si="40"/>
        <v>-3930.17</v>
      </c>
      <c r="T39">
        <f t="shared" si="41"/>
        <v>3930.17</v>
      </c>
      <c r="U39" s="4">
        <v>38</v>
      </c>
      <c r="V39">
        <f t="shared" ref="V39:V42" si="42">$W$41/31+V38</f>
        <v>1711.452903225806</v>
      </c>
    </row>
    <row r="40" spans="1:23" x14ac:dyDescent="0.2">
      <c r="A40" s="5"/>
      <c r="I40">
        <f t="shared" si="31"/>
        <v>0</v>
      </c>
      <c r="J40">
        <f t="shared" si="32"/>
        <v>0</v>
      </c>
      <c r="K40">
        <f t="shared" si="33"/>
        <v>0</v>
      </c>
      <c r="N40" t="b">
        <f t="shared" si="16"/>
        <v>0</v>
      </c>
      <c r="O40">
        <f t="shared" si="21"/>
        <v>0</v>
      </c>
      <c r="P40">
        <f t="shared" si="37"/>
        <v>0</v>
      </c>
      <c r="Q40">
        <f t="shared" si="38"/>
        <v>0</v>
      </c>
      <c r="R40" s="6">
        <f t="shared" si="39"/>
        <v>44671</v>
      </c>
      <c r="S40">
        <f t="shared" si="40"/>
        <v>-3930.17</v>
      </c>
      <c r="T40">
        <f t="shared" si="41"/>
        <v>3930.17</v>
      </c>
      <c r="U40" s="4">
        <v>39</v>
      </c>
      <c r="V40">
        <f t="shared" si="42"/>
        <v>1757.7083870967738</v>
      </c>
      <c r="W40" s="4" t="s">
        <v>18</v>
      </c>
    </row>
    <row r="41" spans="1:23" x14ac:dyDescent="0.2">
      <c r="A41" s="5"/>
      <c r="I41">
        <f t="shared" si="31"/>
        <v>0</v>
      </c>
      <c r="J41">
        <f t="shared" si="32"/>
        <v>0</v>
      </c>
      <c r="K41">
        <f t="shared" si="33"/>
        <v>0</v>
      </c>
      <c r="N41" t="b">
        <f t="shared" si="16"/>
        <v>0</v>
      </c>
      <c r="O41">
        <f t="shared" si="21"/>
        <v>0</v>
      </c>
      <c r="P41">
        <f t="shared" si="37"/>
        <v>0</v>
      </c>
      <c r="Q41">
        <f t="shared" si="38"/>
        <v>0</v>
      </c>
      <c r="R41" s="6">
        <f t="shared" si="39"/>
        <v>44671</v>
      </c>
      <c r="S41">
        <f t="shared" si="40"/>
        <v>-3930.17</v>
      </c>
      <c r="T41">
        <f t="shared" si="41"/>
        <v>3930.17</v>
      </c>
      <c r="U41" s="4">
        <v>40</v>
      </c>
      <c r="V41">
        <f t="shared" si="42"/>
        <v>1803.9638709677415</v>
      </c>
      <c r="W41" s="4">
        <f>J155</f>
        <v>1433.9199999999996</v>
      </c>
    </row>
    <row r="42" spans="1:23" x14ac:dyDescent="0.2">
      <c r="A42" s="5"/>
      <c r="I42">
        <f t="shared" si="31"/>
        <v>0</v>
      </c>
      <c r="J42">
        <f t="shared" si="32"/>
        <v>0</v>
      </c>
      <c r="K42">
        <f t="shared" si="33"/>
        <v>0</v>
      </c>
      <c r="N42" t="b">
        <f t="shared" si="16"/>
        <v>0</v>
      </c>
      <c r="O42">
        <f t="shared" si="21"/>
        <v>0</v>
      </c>
      <c r="P42">
        <f t="shared" si="37"/>
        <v>0</v>
      </c>
      <c r="Q42">
        <f t="shared" si="38"/>
        <v>0</v>
      </c>
      <c r="R42" s="6">
        <f t="shared" si="39"/>
        <v>44671</v>
      </c>
      <c r="S42">
        <f t="shared" si="40"/>
        <v>-3930.17</v>
      </c>
      <c r="T42">
        <f t="shared" si="41"/>
        <v>3930.17</v>
      </c>
      <c r="U42" s="4">
        <v>41</v>
      </c>
      <c r="V42">
        <f t="shared" si="42"/>
        <v>1850.2193548387093</v>
      </c>
    </row>
    <row r="43" spans="1:23" x14ac:dyDescent="0.2">
      <c r="A43" s="5"/>
      <c r="I43">
        <f t="shared" si="31"/>
        <v>0</v>
      </c>
      <c r="J43">
        <f t="shared" si="32"/>
        <v>0</v>
      </c>
      <c r="K43">
        <f t="shared" si="33"/>
        <v>0</v>
      </c>
      <c r="N43" t="b">
        <f t="shared" si="16"/>
        <v>0</v>
      </c>
      <c r="O43">
        <f t="shared" si="21"/>
        <v>0</v>
      </c>
      <c r="P43">
        <f t="shared" si="37"/>
        <v>0</v>
      </c>
      <c r="Q43">
        <f t="shared" si="38"/>
        <v>0</v>
      </c>
    </row>
    <row r="44" spans="1:23" x14ac:dyDescent="0.2">
      <c r="A44" s="5"/>
      <c r="I44">
        <f t="shared" si="31"/>
        <v>0</v>
      </c>
      <c r="J44">
        <f t="shared" si="32"/>
        <v>0</v>
      </c>
      <c r="K44">
        <f t="shared" si="33"/>
        <v>0</v>
      </c>
      <c r="N44" t="b">
        <f t="shared" si="16"/>
        <v>0</v>
      </c>
      <c r="O44">
        <f t="shared" si="21"/>
        <v>0</v>
      </c>
      <c r="P44">
        <f t="shared" si="37"/>
        <v>0</v>
      </c>
      <c r="Q44">
        <f t="shared" si="38"/>
        <v>0</v>
      </c>
    </row>
    <row r="45" spans="1:23" x14ac:dyDescent="0.2">
      <c r="A45" s="5"/>
      <c r="I45">
        <f t="shared" si="31"/>
        <v>0</v>
      </c>
      <c r="J45">
        <f t="shared" si="32"/>
        <v>0</v>
      </c>
      <c r="K45">
        <f t="shared" si="33"/>
        <v>0</v>
      </c>
      <c r="N45" t="b">
        <f t="shared" si="16"/>
        <v>0</v>
      </c>
      <c r="O45">
        <f t="shared" si="21"/>
        <v>0</v>
      </c>
      <c r="P45">
        <f t="shared" si="37"/>
        <v>0</v>
      </c>
      <c r="Q45">
        <f t="shared" si="38"/>
        <v>0</v>
      </c>
    </row>
    <row r="46" spans="1:23" x14ac:dyDescent="0.2">
      <c r="A46" s="5"/>
      <c r="I46">
        <f t="shared" si="31"/>
        <v>0</v>
      </c>
      <c r="J46">
        <f t="shared" si="32"/>
        <v>0</v>
      </c>
      <c r="K46">
        <f t="shared" si="33"/>
        <v>0</v>
      </c>
      <c r="N46" t="b">
        <f t="shared" si="16"/>
        <v>0</v>
      </c>
      <c r="O46">
        <f t="shared" si="21"/>
        <v>0</v>
      </c>
      <c r="P46">
        <f t="shared" si="37"/>
        <v>0</v>
      </c>
      <c r="Q46">
        <f t="shared" si="38"/>
        <v>0</v>
      </c>
    </row>
    <row r="47" spans="1:23" x14ac:dyDescent="0.2">
      <c r="A47" s="5"/>
      <c r="I47">
        <f t="shared" si="31"/>
        <v>0</v>
      </c>
      <c r="J47">
        <f t="shared" si="32"/>
        <v>0</v>
      </c>
      <c r="K47">
        <f t="shared" si="33"/>
        <v>0</v>
      </c>
      <c r="N47" t="b">
        <f t="shared" si="16"/>
        <v>0</v>
      </c>
      <c r="O47">
        <f t="shared" si="21"/>
        <v>0</v>
      </c>
      <c r="P47">
        <f t="shared" si="37"/>
        <v>0</v>
      </c>
      <c r="Q47">
        <f t="shared" si="38"/>
        <v>0</v>
      </c>
    </row>
    <row r="48" spans="1:23" x14ac:dyDescent="0.2">
      <c r="A48" s="5"/>
      <c r="I48">
        <f t="shared" si="31"/>
        <v>0</v>
      </c>
      <c r="J48">
        <f t="shared" si="32"/>
        <v>0</v>
      </c>
      <c r="K48">
        <f t="shared" si="33"/>
        <v>0</v>
      </c>
      <c r="N48" t="b">
        <f t="shared" si="16"/>
        <v>0</v>
      </c>
      <c r="O48">
        <f t="shared" si="21"/>
        <v>0</v>
      </c>
      <c r="P48">
        <f t="shared" si="37"/>
        <v>0</v>
      </c>
      <c r="Q48">
        <f t="shared" si="38"/>
        <v>0</v>
      </c>
    </row>
    <row r="49" spans="1:17" x14ac:dyDescent="0.2">
      <c r="A49" s="5"/>
      <c r="I49">
        <f t="shared" ref="I49:I56" si="43">IF(EXACT(F49,"M"),C49,0)</f>
        <v>0</v>
      </c>
      <c r="J49">
        <f t="shared" ref="J49:J56" si="44">IF(EXACT(G49,"CheckingStarOneTXs"),C49,0)</f>
        <v>0</v>
      </c>
      <c r="K49">
        <f t="shared" ref="K49:K56" si="45">IF(AND(C49&lt;0,EXACT(G49,"VisaChaseTXs")),C49,0)</f>
        <v>0</v>
      </c>
      <c r="N49" t="b">
        <f t="shared" ref="N49:N56" si="46">AND(IF(G49="VisaChaseTXs",TRUE,FALSE),D49="Chase CC Payment")</f>
        <v>0</v>
      </c>
      <c r="O49">
        <f t="shared" ref="O49:O56" si="47">IF(EXACT(F49,""),C49,0)</f>
        <v>0</v>
      </c>
      <c r="P49">
        <f t="shared" ref="P49:P56" si="48">IF(AND(IF(C49&lt;0,C49,FALSE),E49&lt;&gt;"y"),C49,0)</f>
        <v>0</v>
      </c>
      <c r="Q49">
        <f t="shared" si="38"/>
        <v>0</v>
      </c>
    </row>
    <row r="50" spans="1:17" x14ac:dyDescent="0.2">
      <c r="A50" s="5"/>
      <c r="I50">
        <f t="shared" si="43"/>
        <v>0</v>
      </c>
      <c r="J50">
        <f t="shared" si="44"/>
        <v>0</v>
      </c>
      <c r="K50">
        <f t="shared" si="45"/>
        <v>0</v>
      </c>
      <c r="N50" t="b">
        <f t="shared" si="46"/>
        <v>0</v>
      </c>
      <c r="O50">
        <f t="shared" si="47"/>
        <v>0</v>
      </c>
      <c r="P50">
        <f t="shared" si="48"/>
        <v>0</v>
      </c>
    </row>
    <row r="51" spans="1:17" x14ac:dyDescent="0.2">
      <c r="A51" s="5"/>
      <c r="I51">
        <f t="shared" si="43"/>
        <v>0</v>
      </c>
      <c r="J51">
        <f t="shared" si="44"/>
        <v>0</v>
      </c>
      <c r="K51">
        <f t="shared" si="45"/>
        <v>0</v>
      </c>
      <c r="N51" t="b">
        <f t="shared" si="46"/>
        <v>0</v>
      </c>
      <c r="O51">
        <f t="shared" si="47"/>
        <v>0</v>
      </c>
      <c r="P51">
        <f t="shared" si="48"/>
        <v>0</v>
      </c>
    </row>
    <row r="52" spans="1:17" x14ac:dyDescent="0.2">
      <c r="A52" s="5"/>
      <c r="I52">
        <f t="shared" si="43"/>
        <v>0</v>
      </c>
      <c r="J52">
        <f t="shared" si="44"/>
        <v>0</v>
      </c>
      <c r="K52">
        <f t="shared" si="45"/>
        <v>0</v>
      </c>
      <c r="N52" t="b">
        <f t="shared" si="46"/>
        <v>0</v>
      </c>
      <c r="O52">
        <f t="shared" si="47"/>
        <v>0</v>
      </c>
      <c r="P52">
        <f t="shared" si="48"/>
        <v>0</v>
      </c>
    </row>
    <row r="53" spans="1:17" x14ac:dyDescent="0.2">
      <c r="A53" s="5"/>
      <c r="I53">
        <f t="shared" si="43"/>
        <v>0</v>
      </c>
      <c r="J53">
        <f t="shared" si="44"/>
        <v>0</v>
      </c>
      <c r="K53">
        <f t="shared" si="45"/>
        <v>0</v>
      </c>
      <c r="N53" t="b">
        <f t="shared" si="46"/>
        <v>0</v>
      </c>
      <c r="O53">
        <f t="shared" si="47"/>
        <v>0</v>
      </c>
      <c r="P53">
        <f t="shared" si="48"/>
        <v>0</v>
      </c>
    </row>
    <row r="54" spans="1:17" x14ac:dyDescent="0.2">
      <c r="A54" s="5"/>
      <c r="I54">
        <f t="shared" si="43"/>
        <v>0</v>
      </c>
      <c r="J54">
        <f t="shared" si="44"/>
        <v>0</v>
      </c>
      <c r="K54">
        <f t="shared" si="45"/>
        <v>0</v>
      </c>
      <c r="N54" t="b">
        <f t="shared" si="46"/>
        <v>0</v>
      </c>
      <c r="O54">
        <f t="shared" si="47"/>
        <v>0</v>
      </c>
      <c r="P54">
        <f t="shared" si="48"/>
        <v>0</v>
      </c>
    </row>
    <row r="55" spans="1:17" x14ac:dyDescent="0.2">
      <c r="A55" s="5"/>
      <c r="I55">
        <f t="shared" si="43"/>
        <v>0</v>
      </c>
      <c r="J55">
        <f t="shared" si="44"/>
        <v>0</v>
      </c>
      <c r="K55">
        <f t="shared" si="45"/>
        <v>0</v>
      </c>
      <c r="N55" t="b">
        <f t="shared" si="46"/>
        <v>0</v>
      </c>
      <c r="O55">
        <f t="shared" si="47"/>
        <v>0</v>
      </c>
      <c r="P55">
        <f t="shared" si="48"/>
        <v>0</v>
      </c>
    </row>
    <row r="56" spans="1:17" x14ac:dyDescent="0.2">
      <c r="A56" s="5"/>
      <c r="I56">
        <f t="shared" si="43"/>
        <v>0</v>
      </c>
      <c r="J56">
        <f t="shared" si="44"/>
        <v>0</v>
      </c>
      <c r="K56">
        <f t="shared" si="45"/>
        <v>0</v>
      </c>
      <c r="N56" t="b">
        <f t="shared" si="46"/>
        <v>0</v>
      </c>
      <c r="O56">
        <f t="shared" si="47"/>
        <v>0</v>
      </c>
      <c r="P56">
        <f t="shared" si="48"/>
        <v>0</v>
      </c>
    </row>
    <row r="57" spans="1:17" x14ac:dyDescent="0.2">
      <c r="A57" s="5"/>
      <c r="I57">
        <f t="shared" ref="I57:I120" si="49">IF(EXACT(F57,"M"),C57,0)</f>
        <v>0</v>
      </c>
      <c r="J57">
        <f t="shared" ref="J57:J120" si="50">IF(EXACT(G57,"CheckingStarOneTXs"),C57,0)</f>
        <v>0</v>
      </c>
      <c r="K57">
        <f t="shared" ref="K57:K120" si="51">IF(AND(C57&lt;0,EXACT(G57,"VisaChaseTXs")),C57,0)</f>
        <v>0</v>
      </c>
      <c r="N57" t="b">
        <f t="shared" ref="N57:N120" si="52">AND(IF(G57="VisaChaseTXs",TRUE,FALSE),D57="Chase CC Payment")</f>
        <v>0</v>
      </c>
      <c r="O57">
        <f t="shared" ref="O57:O120" si="53">IF(EXACT(F57,""),C57,0)</f>
        <v>0</v>
      </c>
      <c r="P57">
        <f t="shared" ref="P57:P120" si="54">IF(AND(IF(C57&lt;0,C57,FALSE),E57&lt;&gt;"y"),C57,0)</f>
        <v>0</v>
      </c>
    </row>
    <row r="58" spans="1:17" x14ac:dyDescent="0.2">
      <c r="A58" s="5"/>
      <c r="I58">
        <f t="shared" si="49"/>
        <v>0</v>
      </c>
      <c r="J58">
        <f t="shared" si="50"/>
        <v>0</v>
      </c>
      <c r="K58">
        <f t="shared" si="51"/>
        <v>0</v>
      </c>
      <c r="N58" t="b">
        <f t="shared" si="52"/>
        <v>0</v>
      </c>
      <c r="O58">
        <f t="shared" si="53"/>
        <v>0</v>
      </c>
      <c r="P58">
        <f t="shared" si="54"/>
        <v>0</v>
      </c>
    </row>
    <row r="59" spans="1:17" x14ac:dyDescent="0.2">
      <c r="A59" s="5"/>
      <c r="I59">
        <f t="shared" si="49"/>
        <v>0</v>
      </c>
      <c r="J59">
        <f t="shared" si="50"/>
        <v>0</v>
      </c>
      <c r="K59">
        <f t="shared" si="51"/>
        <v>0</v>
      </c>
      <c r="N59" t="b">
        <f t="shared" si="52"/>
        <v>0</v>
      </c>
      <c r="O59">
        <f t="shared" si="53"/>
        <v>0</v>
      </c>
      <c r="P59">
        <f t="shared" si="54"/>
        <v>0</v>
      </c>
    </row>
    <row r="60" spans="1:17" x14ac:dyDescent="0.2">
      <c r="A60" s="5"/>
      <c r="I60">
        <f t="shared" si="49"/>
        <v>0</v>
      </c>
      <c r="J60">
        <f t="shared" si="50"/>
        <v>0</v>
      </c>
      <c r="K60">
        <f t="shared" si="51"/>
        <v>0</v>
      </c>
      <c r="N60" t="b">
        <f t="shared" si="52"/>
        <v>0</v>
      </c>
      <c r="O60">
        <f t="shared" si="53"/>
        <v>0</v>
      </c>
      <c r="P60">
        <f t="shared" si="54"/>
        <v>0</v>
      </c>
    </row>
    <row r="61" spans="1:17" x14ac:dyDescent="0.2">
      <c r="A61" s="5"/>
      <c r="I61">
        <f t="shared" si="49"/>
        <v>0</v>
      </c>
      <c r="J61">
        <f t="shared" si="50"/>
        <v>0</v>
      </c>
      <c r="K61">
        <f t="shared" si="51"/>
        <v>0</v>
      </c>
      <c r="N61" t="b">
        <f t="shared" si="52"/>
        <v>0</v>
      </c>
      <c r="O61">
        <f t="shared" si="53"/>
        <v>0</v>
      </c>
      <c r="P61">
        <f t="shared" si="54"/>
        <v>0</v>
      </c>
    </row>
    <row r="62" spans="1:17" x14ac:dyDescent="0.2">
      <c r="A62" s="5"/>
      <c r="I62">
        <f t="shared" si="49"/>
        <v>0</v>
      </c>
      <c r="J62">
        <f t="shared" si="50"/>
        <v>0</v>
      </c>
      <c r="K62">
        <f t="shared" si="51"/>
        <v>0</v>
      </c>
      <c r="N62" t="b">
        <f t="shared" si="52"/>
        <v>0</v>
      </c>
      <c r="O62">
        <f t="shared" si="53"/>
        <v>0</v>
      </c>
      <c r="P62">
        <f t="shared" si="54"/>
        <v>0</v>
      </c>
    </row>
    <row r="63" spans="1:17" x14ac:dyDescent="0.2">
      <c r="A63" s="5"/>
      <c r="I63">
        <f t="shared" si="49"/>
        <v>0</v>
      </c>
      <c r="J63">
        <f t="shared" si="50"/>
        <v>0</v>
      </c>
      <c r="K63">
        <f t="shared" si="51"/>
        <v>0</v>
      </c>
      <c r="N63" t="b">
        <f t="shared" si="52"/>
        <v>0</v>
      </c>
      <c r="O63">
        <f t="shared" si="53"/>
        <v>0</v>
      </c>
      <c r="P63">
        <f t="shared" si="54"/>
        <v>0</v>
      </c>
    </row>
    <row r="64" spans="1:17" x14ac:dyDescent="0.2">
      <c r="A64" s="5"/>
      <c r="I64">
        <f t="shared" si="49"/>
        <v>0</v>
      </c>
      <c r="J64">
        <f t="shared" si="50"/>
        <v>0</v>
      </c>
      <c r="K64">
        <f t="shared" si="51"/>
        <v>0</v>
      </c>
      <c r="N64" t="b">
        <f t="shared" si="52"/>
        <v>0</v>
      </c>
      <c r="O64">
        <f t="shared" si="53"/>
        <v>0</v>
      </c>
      <c r="P64">
        <f t="shared" si="54"/>
        <v>0</v>
      </c>
    </row>
    <row r="65" spans="1:16" x14ac:dyDescent="0.2">
      <c r="A65" s="5"/>
      <c r="I65">
        <f t="shared" si="49"/>
        <v>0</v>
      </c>
      <c r="J65">
        <f t="shared" si="50"/>
        <v>0</v>
      </c>
      <c r="K65">
        <f t="shared" si="51"/>
        <v>0</v>
      </c>
      <c r="N65" t="b">
        <f t="shared" si="52"/>
        <v>0</v>
      </c>
      <c r="O65">
        <f t="shared" si="53"/>
        <v>0</v>
      </c>
      <c r="P65">
        <f t="shared" si="54"/>
        <v>0</v>
      </c>
    </row>
    <row r="66" spans="1:16" x14ac:dyDescent="0.2">
      <c r="A66" s="5"/>
      <c r="I66">
        <f t="shared" si="49"/>
        <v>0</v>
      </c>
      <c r="J66">
        <f t="shared" si="50"/>
        <v>0</v>
      </c>
      <c r="K66">
        <f t="shared" si="51"/>
        <v>0</v>
      </c>
      <c r="N66" t="b">
        <f t="shared" si="52"/>
        <v>0</v>
      </c>
      <c r="O66">
        <f t="shared" si="53"/>
        <v>0</v>
      </c>
      <c r="P66">
        <f t="shared" si="54"/>
        <v>0</v>
      </c>
    </row>
    <row r="67" spans="1:16" x14ac:dyDescent="0.2">
      <c r="A67" s="5"/>
      <c r="I67">
        <f t="shared" si="49"/>
        <v>0</v>
      </c>
      <c r="J67">
        <f t="shared" si="50"/>
        <v>0</v>
      </c>
      <c r="K67">
        <f t="shared" si="51"/>
        <v>0</v>
      </c>
      <c r="N67" t="b">
        <f t="shared" si="52"/>
        <v>0</v>
      </c>
      <c r="O67">
        <f t="shared" si="53"/>
        <v>0</v>
      </c>
      <c r="P67">
        <f t="shared" si="54"/>
        <v>0</v>
      </c>
    </row>
    <row r="68" spans="1:16" x14ac:dyDescent="0.2">
      <c r="A68" s="5"/>
      <c r="I68">
        <f t="shared" si="49"/>
        <v>0</v>
      </c>
      <c r="J68">
        <f t="shared" si="50"/>
        <v>0</v>
      </c>
      <c r="K68">
        <f t="shared" si="51"/>
        <v>0</v>
      </c>
      <c r="N68" t="b">
        <f t="shared" si="52"/>
        <v>0</v>
      </c>
      <c r="O68">
        <f t="shared" si="53"/>
        <v>0</v>
      </c>
      <c r="P68">
        <f t="shared" si="54"/>
        <v>0</v>
      </c>
    </row>
    <row r="69" spans="1:16" x14ac:dyDescent="0.2">
      <c r="A69" s="5"/>
      <c r="I69">
        <f t="shared" si="49"/>
        <v>0</v>
      </c>
      <c r="J69">
        <f t="shared" si="50"/>
        <v>0</v>
      </c>
      <c r="K69">
        <f t="shared" si="51"/>
        <v>0</v>
      </c>
      <c r="N69" t="b">
        <f t="shared" si="52"/>
        <v>0</v>
      </c>
      <c r="O69">
        <f t="shared" si="53"/>
        <v>0</v>
      </c>
      <c r="P69">
        <f t="shared" si="54"/>
        <v>0</v>
      </c>
    </row>
    <row r="70" spans="1:16" x14ac:dyDescent="0.2">
      <c r="A70" s="5"/>
      <c r="I70">
        <f t="shared" si="49"/>
        <v>0</v>
      </c>
      <c r="J70">
        <f t="shared" si="50"/>
        <v>0</v>
      </c>
      <c r="K70">
        <f t="shared" si="51"/>
        <v>0</v>
      </c>
      <c r="N70" t="b">
        <f t="shared" si="52"/>
        <v>0</v>
      </c>
      <c r="O70">
        <f t="shared" si="53"/>
        <v>0</v>
      </c>
      <c r="P70">
        <f t="shared" si="54"/>
        <v>0</v>
      </c>
    </row>
    <row r="71" spans="1:16" x14ac:dyDescent="0.2">
      <c r="A71" s="5"/>
      <c r="I71">
        <f t="shared" si="49"/>
        <v>0</v>
      </c>
      <c r="J71">
        <f t="shared" si="50"/>
        <v>0</v>
      </c>
      <c r="K71">
        <f t="shared" si="51"/>
        <v>0</v>
      </c>
      <c r="N71" t="b">
        <f t="shared" si="52"/>
        <v>0</v>
      </c>
      <c r="O71">
        <f t="shared" si="53"/>
        <v>0</v>
      </c>
      <c r="P71">
        <f t="shared" si="54"/>
        <v>0</v>
      </c>
    </row>
    <row r="72" spans="1:16" x14ac:dyDescent="0.2">
      <c r="A72" s="5"/>
      <c r="I72">
        <f t="shared" si="49"/>
        <v>0</v>
      </c>
      <c r="J72">
        <f t="shared" si="50"/>
        <v>0</v>
      </c>
      <c r="K72">
        <f t="shared" si="51"/>
        <v>0</v>
      </c>
      <c r="N72" t="b">
        <f t="shared" si="52"/>
        <v>0</v>
      </c>
      <c r="O72">
        <f t="shared" si="53"/>
        <v>0</v>
      </c>
      <c r="P72">
        <f t="shared" si="54"/>
        <v>0</v>
      </c>
    </row>
    <row r="73" spans="1:16" x14ac:dyDescent="0.2">
      <c r="A73" s="5"/>
      <c r="I73">
        <f t="shared" si="49"/>
        <v>0</v>
      </c>
      <c r="J73">
        <f t="shared" si="50"/>
        <v>0</v>
      </c>
      <c r="K73">
        <f t="shared" si="51"/>
        <v>0</v>
      </c>
      <c r="N73" t="b">
        <f t="shared" si="52"/>
        <v>0</v>
      </c>
      <c r="O73">
        <f t="shared" si="53"/>
        <v>0</v>
      </c>
      <c r="P73">
        <f t="shared" si="54"/>
        <v>0</v>
      </c>
    </row>
    <row r="74" spans="1:16" x14ac:dyDescent="0.2">
      <c r="A74" s="5"/>
      <c r="I74">
        <f t="shared" si="49"/>
        <v>0</v>
      </c>
      <c r="J74">
        <f t="shared" si="50"/>
        <v>0</v>
      </c>
      <c r="K74">
        <f t="shared" si="51"/>
        <v>0</v>
      </c>
      <c r="N74" t="b">
        <f t="shared" si="52"/>
        <v>0</v>
      </c>
      <c r="O74">
        <f t="shared" si="53"/>
        <v>0</v>
      </c>
      <c r="P74">
        <f t="shared" si="54"/>
        <v>0</v>
      </c>
    </row>
    <row r="75" spans="1:16" x14ac:dyDescent="0.2">
      <c r="A75" s="5"/>
      <c r="I75">
        <f t="shared" si="49"/>
        <v>0</v>
      </c>
      <c r="J75">
        <f t="shared" si="50"/>
        <v>0</v>
      </c>
      <c r="K75">
        <f t="shared" si="51"/>
        <v>0</v>
      </c>
      <c r="N75" t="b">
        <f t="shared" si="52"/>
        <v>0</v>
      </c>
      <c r="O75">
        <f t="shared" si="53"/>
        <v>0</v>
      </c>
      <c r="P75">
        <f t="shared" si="54"/>
        <v>0</v>
      </c>
    </row>
    <row r="76" spans="1:16" x14ac:dyDescent="0.2">
      <c r="A76" s="5"/>
      <c r="I76">
        <f t="shared" si="49"/>
        <v>0</v>
      </c>
      <c r="J76">
        <f t="shared" si="50"/>
        <v>0</v>
      </c>
      <c r="K76">
        <f t="shared" si="51"/>
        <v>0</v>
      </c>
      <c r="N76" t="b">
        <f t="shared" si="52"/>
        <v>0</v>
      </c>
      <c r="O76">
        <f t="shared" si="53"/>
        <v>0</v>
      </c>
      <c r="P76">
        <f t="shared" si="54"/>
        <v>0</v>
      </c>
    </row>
    <row r="77" spans="1:16" x14ac:dyDescent="0.2">
      <c r="A77" s="5"/>
      <c r="I77">
        <f t="shared" si="49"/>
        <v>0</v>
      </c>
      <c r="J77">
        <f t="shared" si="50"/>
        <v>0</v>
      </c>
      <c r="K77">
        <f t="shared" si="51"/>
        <v>0</v>
      </c>
      <c r="N77" t="b">
        <f t="shared" si="52"/>
        <v>0</v>
      </c>
      <c r="O77">
        <f t="shared" si="53"/>
        <v>0</v>
      </c>
      <c r="P77">
        <f t="shared" si="54"/>
        <v>0</v>
      </c>
    </row>
    <row r="78" spans="1:16" x14ac:dyDescent="0.2">
      <c r="A78" s="5"/>
      <c r="I78">
        <f t="shared" si="49"/>
        <v>0</v>
      </c>
      <c r="J78">
        <f t="shared" si="50"/>
        <v>0</v>
      </c>
      <c r="K78">
        <f t="shared" si="51"/>
        <v>0</v>
      </c>
      <c r="N78" t="b">
        <f t="shared" si="52"/>
        <v>0</v>
      </c>
      <c r="O78">
        <f t="shared" si="53"/>
        <v>0</v>
      </c>
      <c r="P78">
        <f t="shared" si="54"/>
        <v>0</v>
      </c>
    </row>
    <row r="79" spans="1:16" x14ac:dyDescent="0.2">
      <c r="A79" s="5"/>
      <c r="I79">
        <f t="shared" si="49"/>
        <v>0</v>
      </c>
      <c r="J79">
        <f t="shared" si="50"/>
        <v>0</v>
      </c>
      <c r="K79">
        <f t="shared" si="51"/>
        <v>0</v>
      </c>
      <c r="N79" t="b">
        <f t="shared" si="52"/>
        <v>0</v>
      </c>
      <c r="O79">
        <f t="shared" si="53"/>
        <v>0</v>
      </c>
      <c r="P79">
        <f t="shared" si="54"/>
        <v>0</v>
      </c>
    </row>
    <row r="80" spans="1:16" x14ac:dyDescent="0.2">
      <c r="A80" s="5"/>
      <c r="I80">
        <f t="shared" si="49"/>
        <v>0</v>
      </c>
      <c r="J80">
        <f t="shared" si="50"/>
        <v>0</v>
      </c>
      <c r="K80">
        <f t="shared" si="51"/>
        <v>0</v>
      </c>
      <c r="N80" t="b">
        <f t="shared" si="52"/>
        <v>0</v>
      </c>
      <c r="O80">
        <f t="shared" si="53"/>
        <v>0</v>
      </c>
      <c r="P80">
        <f t="shared" si="54"/>
        <v>0</v>
      </c>
    </row>
    <row r="81" spans="1:16" x14ac:dyDescent="0.2">
      <c r="A81" s="5"/>
      <c r="I81">
        <f t="shared" si="49"/>
        <v>0</v>
      </c>
      <c r="J81">
        <f t="shared" si="50"/>
        <v>0</v>
      </c>
      <c r="K81">
        <f t="shared" si="51"/>
        <v>0</v>
      </c>
      <c r="N81" t="b">
        <f t="shared" si="52"/>
        <v>0</v>
      </c>
      <c r="O81">
        <f t="shared" si="53"/>
        <v>0</v>
      </c>
      <c r="P81">
        <f t="shared" si="54"/>
        <v>0</v>
      </c>
    </row>
    <row r="82" spans="1:16" x14ac:dyDescent="0.2">
      <c r="A82" s="5"/>
      <c r="I82">
        <f t="shared" si="49"/>
        <v>0</v>
      </c>
      <c r="J82">
        <f t="shared" si="50"/>
        <v>0</v>
      </c>
      <c r="K82">
        <f t="shared" si="51"/>
        <v>0</v>
      </c>
      <c r="N82" t="b">
        <f t="shared" si="52"/>
        <v>0</v>
      </c>
      <c r="O82">
        <f t="shared" si="53"/>
        <v>0</v>
      </c>
      <c r="P82">
        <f t="shared" si="54"/>
        <v>0</v>
      </c>
    </row>
    <row r="83" spans="1:16" x14ac:dyDescent="0.2">
      <c r="A83" s="5"/>
      <c r="I83">
        <f t="shared" si="49"/>
        <v>0</v>
      </c>
      <c r="J83">
        <f t="shared" si="50"/>
        <v>0</v>
      </c>
      <c r="K83">
        <f t="shared" si="51"/>
        <v>0</v>
      </c>
      <c r="N83" t="b">
        <f t="shared" si="52"/>
        <v>0</v>
      </c>
      <c r="O83">
        <f t="shared" si="53"/>
        <v>0</v>
      </c>
      <c r="P83">
        <f t="shared" si="54"/>
        <v>0</v>
      </c>
    </row>
    <row r="84" spans="1:16" x14ac:dyDescent="0.2">
      <c r="A84" s="5"/>
      <c r="I84">
        <f t="shared" si="49"/>
        <v>0</v>
      </c>
      <c r="J84">
        <f t="shared" si="50"/>
        <v>0</v>
      </c>
      <c r="K84">
        <f t="shared" si="51"/>
        <v>0</v>
      </c>
      <c r="N84" t="b">
        <f t="shared" si="52"/>
        <v>0</v>
      </c>
      <c r="O84">
        <f t="shared" si="53"/>
        <v>0</v>
      </c>
      <c r="P84">
        <f t="shared" si="54"/>
        <v>0</v>
      </c>
    </row>
    <row r="85" spans="1:16" x14ac:dyDescent="0.2">
      <c r="A85" s="5"/>
      <c r="I85">
        <f t="shared" si="49"/>
        <v>0</v>
      </c>
      <c r="J85">
        <f t="shared" si="50"/>
        <v>0</v>
      </c>
      <c r="K85">
        <f t="shared" si="51"/>
        <v>0</v>
      </c>
      <c r="N85" t="b">
        <f t="shared" si="52"/>
        <v>0</v>
      </c>
      <c r="O85">
        <f t="shared" si="53"/>
        <v>0</v>
      </c>
      <c r="P85">
        <f t="shared" si="54"/>
        <v>0</v>
      </c>
    </row>
    <row r="86" spans="1:16" x14ac:dyDescent="0.2">
      <c r="A86" s="5"/>
      <c r="I86">
        <f t="shared" si="49"/>
        <v>0</v>
      </c>
      <c r="J86">
        <f t="shared" si="50"/>
        <v>0</v>
      </c>
      <c r="K86">
        <f t="shared" si="51"/>
        <v>0</v>
      </c>
      <c r="N86" t="b">
        <f t="shared" si="52"/>
        <v>0</v>
      </c>
      <c r="O86">
        <f t="shared" si="53"/>
        <v>0</v>
      </c>
      <c r="P86">
        <f t="shared" si="54"/>
        <v>0</v>
      </c>
    </row>
    <row r="87" spans="1:16" x14ac:dyDescent="0.2">
      <c r="A87" s="5"/>
      <c r="I87">
        <f t="shared" si="49"/>
        <v>0</v>
      </c>
      <c r="J87">
        <f t="shared" si="50"/>
        <v>0</v>
      </c>
      <c r="K87">
        <f t="shared" si="51"/>
        <v>0</v>
      </c>
      <c r="N87" t="b">
        <f t="shared" si="52"/>
        <v>0</v>
      </c>
      <c r="O87">
        <f t="shared" si="53"/>
        <v>0</v>
      </c>
      <c r="P87">
        <f t="shared" si="54"/>
        <v>0</v>
      </c>
    </row>
    <row r="88" spans="1:16" x14ac:dyDescent="0.2">
      <c r="A88" s="5"/>
      <c r="I88">
        <f t="shared" si="49"/>
        <v>0</v>
      </c>
      <c r="J88">
        <f t="shared" si="50"/>
        <v>0</v>
      </c>
      <c r="K88">
        <f t="shared" si="51"/>
        <v>0</v>
      </c>
      <c r="N88" t="b">
        <f t="shared" si="52"/>
        <v>0</v>
      </c>
      <c r="O88">
        <f t="shared" si="53"/>
        <v>0</v>
      </c>
      <c r="P88">
        <f t="shared" si="54"/>
        <v>0</v>
      </c>
    </row>
    <row r="89" spans="1:16" x14ac:dyDescent="0.2">
      <c r="A89" s="5"/>
      <c r="I89">
        <f t="shared" si="49"/>
        <v>0</v>
      </c>
      <c r="J89">
        <f t="shared" si="50"/>
        <v>0</v>
      </c>
      <c r="K89">
        <f t="shared" si="51"/>
        <v>0</v>
      </c>
      <c r="N89" t="b">
        <f t="shared" si="52"/>
        <v>0</v>
      </c>
      <c r="O89">
        <f t="shared" si="53"/>
        <v>0</v>
      </c>
      <c r="P89">
        <f t="shared" si="54"/>
        <v>0</v>
      </c>
    </row>
    <row r="90" spans="1:16" x14ac:dyDescent="0.2">
      <c r="A90" s="5"/>
      <c r="I90">
        <f t="shared" si="49"/>
        <v>0</v>
      </c>
      <c r="J90">
        <f t="shared" si="50"/>
        <v>0</v>
      </c>
      <c r="K90">
        <f t="shared" si="51"/>
        <v>0</v>
      </c>
      <c r="N90" t="b">
        <f t="shared" si="52"/>
        <v>0</v>
      </c>
      <c r="O90">
        <f t="shared" si="53"/>
        <v>0</v>
      </c>
      <c r="P90">
        <f t="shared" si="54"/>
        <v>0</v>
      </c>
    </row>
    <row r="91" spans="1:16" x14ac:dyDescent="0.2">
      <c r="A91" s="5"/>
      <c r="I91">
        <f t="shared" si="49"/>
        <v>0</v>
      </c>
      <c r="J91">
        <f t="shared" si="50"/>
        <v>0</v>
      </c>
      <c r="K91">
        <f t="shared" si="51"/>
        <v>0</v>
      </c>
      <c r="N91" t="b">
        <f t="shared" si="52"/>
        <v>0</v>
      </c>
      <c r="O91">
        <f t="shared" si="53"/>
        <v>0</v>
      </c>
      <c r="P91">
        <f t="shared" si="54"/>
        <v>0</v>
      </c>
    </row>
    <row r="92" spans="1:16" x14ac:dyDescent="0.2">
      <c r="A92" s="5"/>
      <c r="I92">
        <f t="shared" si="49"/>
        <v>0</v>
      </c>
      <c r="J92">
        <f t="shared" si="50"/>
        <v>0</v>
      </c>
      <c r="K92">
        <f t="shared" si="51"/>
        <v>0</v>
      </c>
      <c r="N92" t="b">
        <f t="shared" si="52"/>
        <v>0</v>
      </c>
      <c r="O92">
        <f t="shared" si="53"/>
        <v>0</v>
      </c>
      <c r="P92">
        <f t="shared" si="54"/>
        <v>0</v>
      </c>
    </row>
    <row r="93" spans="1:16" x14ac:dyDescent="0.2">
      <c r="A93" s="5"/>
      <c r="I93">
        <f t="shared" si="49"/>
        <v>0</v>
      </c>
      <c r="J93">
        <f t="shared" si="50"/>
        <v>0</v>
      </c>
      <c r="K93">
        <f t="shared" si="51"/>
        <v>0</v>
      </c>
      <c r="N93" t="b">
        <f t="shared" si="52"/>
        <v>0</v>
      </c>
      <c r="O93">
        <f t="shared" si="53"/>
        <v>0</v>
      </c>
      <c r="P93">
        <f t="shared" si="54"/>
        <v>0</v>
      </c>
    </row>
    <row r="94" spans="1:16" x14ac:dyDescent="0.2">
      <c r="A94" s="5"/>
      <c r="I94">
        <f t="shared" si="49"/>
        <v>0</v>
      </c>
      <c r="J94">
        <f t="shared" si="50"/>
        <v>0</v>
      </c>
      <c r="K94">
        <f t="shared" si="51"/>
        <v>0</v>
      </c>
      <c r="N94" t="b">
        <f t="shared" si="52"/>
        <v>0</v>
      </c>
      <c r="O94">
        <f t="shared" si="53"/>
        <v>0</v>
      </c>
      <c r="P94">
        <f t="shared" si="54"/>
        <v>0</v>
      </c>
    </row>
    <row r="95" spans="1:16" x14ac:dyDescent="0.2">
      <c r="A95" s="5"/>
      <c r="I95">
        <f t="shared" si="49"/>
        <v>0</v>
      </c>
      <c r="J95">
        <f t="shared" si="50"/>
        <v>0</v>
      </c>
      <c r="K95">
        <f t="shared" si="51"/>
        <v>0</v>
      </c>
      <c r="N95" t="b">
        <f t="shared" si="52"/>
        <v>0</v>
      </c>
      <c r="O95">
        <f t="shared" si="53"/>
        <v>0</v>
      </c>
      <c r="P95">
        <f t="shared" si="54"/>
        <v>0</v>
      </c>
    </row>
    <row r="96" spans="1:16" x14ac:dyDescent="0.2">
      <c r="A96" s="5"/>
      <c r="I96">
        <f t="shared" si="49"/>
        <v>0</v>
      </c>
      <c r="J96">
        <f t="shared" si="50"/>
        <v>0</v>
      </c>
      <c r="K96">
        <f t="shared" si="51"/>
        <v>0</v>
      </c>
      <c r="N96" t="b">
        <f t="shared" si="52"/>
        <v>0</v>
      </c>
      <c r="O96">
        <f t="shared" si="53"/>
        <v>0</v>
      </c>
      <c r="P96">
        <f t="shared" si="54"/>
        <v>0</v>
      </c>
    </row>
    <row r="97" spans="1:16" x14ac:dyDescent="0.2">
      <c r="A97" s="5"/>
      <c r="I97">
        <f t="shared" si="49"/>
        <v>0</v>
      </c>
      <c r="J97">
        <f t="shared" si="50"/>
        <v>0</v>
      </c>
      <c r="K97">
        <f t="shared" si="51"/>
        <v>0</v>
      </c>
      <c r="N97" t="b">
        <f t="shared" si="52"/>
        <v>0</v>
      </c>
      <c r="O97">
        <f t="shared" si="53"/>
        <v>0</v>
      </c>
      <c r="P97">
        <f t="shared" si="54"/>
        <v>0</v>
      </c>
    </row>
    <row r="98" spans="1:16" x14ac:dyDescent="0.2">
      <c r="A98" s="5"/>
      <c r="I98">
        <f t="shared" si="49"/>
        <v>0</v>
      </c>
      <c r="J98">
        <f t="shared" si="50"/>
        <v>0</v>
      </c>
      <c r="K98">
        <f t="shared" si="51"/>
        <v>0</v>
      </c>
      <c r="N98" t="b">
        <f t="shared" si="52"/>
        <v>0</v>
      </c>
      <c r="O98">
        <f t="shared" si="53"/>
        <v>0</v>
      </c>
      <c r="P98">
        <f t="shared" si="54"/>
        <v>0</v>
      </c>
    </row>
    <row r="99" spans="1:16" x14ac:dyDescent="0.2">
      <c r="A99" s="5"/>
      <c r="I99">
        <f t="shared" si="49"/>
        <v>0</v>
      </c>
      <c r="J99">
        <f t="shared" si="50"/>
        <v>0</v>
      </c>
      <c r="K99">
        <f t="shared" si="51"/>
        <v>0</v>
      </c>
      <c r="N99" t="b">
        <f t="shared" si="52"/>
        <v>0</v>
      </c>
      <c r="O99">
        <f t="shared" si="53"/>
        <v>0</v>
      </c>
      <c r="P99">
        <f t="shared" si="54"/>
        <v>0</v>
      </c>
    </row>
    <row r="100" spans="1:16" x14ac:dyDescent="0.2">
      <c r="A100" s="5"/>
      <c r="I100">
        <f t="shared" si="49"/>
        <v>0</v>
      </c>
      <c r="J100">
        <f t="shared" si="50"/>
        <v>0</v>
      </c>
      <c r="K100">
        <f t="shared" si="51"/>
        <v>0</v>
      </c>
      <c r="N100" t="b">
        <f t="shared" si="52"/>
        <v>0</v>
      </c>
      <c r="O100">
        <f t="shared" si="53"/>
        <v>0</v>
      </c>
      <c r="P100">
        <f t="shared" si="54"/>
        <v>0</v>
      </c>
    </row>
    <row r="101" spans="1:16" x14ac:dyDescent="0.2">
      <c r="A101" s="5"/>
      <c r="I101">
        <f t="shared" si="49"/>
        <v>0</v>
      </c>
      <c r="J101">
        <f t="shared" si="50"/>
        <v>0</v>
      </c>
      <c r="K101">
        <f t="shared" si="51"/>
        <v>0</v>
      </c>
      <c r="N101" t="b">
        <f t="shared" si="52"/>
        <v>0</v>
      </c>
      <c r="O101">
        <f t="shared" si="53"/>
        <v>0</v>
      </c>
      <c r="P101">
        <f t="shared" si="54"/>
        <v>0</v>
      </c>
    </row>
    <row r="102" spans="1:16" x14ac:dyDescent="0.2">
      <c r="A102" s="5"/>
      <c r="I102">
        <f t="shared" si="49"/>
        <v>0</v>
      </c>
      <c r="J102">
        <f t="shared" si="50"/>
        <v>0</v>
      </c>
      <c r="K102">
        <f t="shared" si="51"/>
        <v>0</v>
      </c>
      <c r="N102" t="b">
        <f t="shared" si="52"/>
        <v>0</v>
      </c>
      <c r="O102">
        <f t="shared" si="53"/>
        <v>0</v>
      </c>
      <c r="P102">
        <f t="shared" si="54"/>
        <v>0</v>
      </c>
    </row>
    <row r="103" spans="1:16" x14ac:dyDescent="0.2">
      <c r="A103" s="5"/>
      <c r="I103">
        <f t="shared" si="49"/>
        <v>0</v>
      </c>
      <c r="J103">
        <f t="shared" si="50"/>
        <v>0</v>
      </c>
      <c r="K103">
        <f t="shared" si="51"/>
        <v>0</v>
      </c>
      <c r="N103" t="b">
        <f t="shared" si="52"/>
        <v>0</v>
      </c>
      <c r="O103">
        <f t="shared" si="53"/>
        <v>0</v>
      </c>
      <c r="P103">
        <f t="shared" si="54"/>
        <v>0</v>
      </c>
    </row>
    <row r="104" spans="1:16" x14ac:dyDescent="0.2">
      <c r="A104" s="5"/>
      <c r="I104">
        <f t="shared" si="49"/>
        <v>0</v>
      </c>
      <c r="J104">
        <f t="shared" si="50"/>
        <v>0</v>
      </c>
      <c r="K104">
        <f t="shared" si="51"/>
        <v>0</v>
      </c>
      <c r="N104" t="b">
        <f t="shared" si="52"/>
        <v>0</v>
      </c>
      <c r="O104">
        <f t="shared" si="53"/>
        <v>0</v>
      </c>
      <c r="P104">
        <f t="shared" si="54"/>
        <v>0</v>
      </c>
    </row>
    <row r="105" spans="1:16" x14ac:dyDescent="0.2">
      <c r="A105" s="5"/>
      <c r="I105">
        <f t="shared" si="49"/>
        <v>0</v>
      </c>
      <c r="J105">
        <f t="shared" si="50"/>
        <v>0</v>
      </c>
      <c r="K105">
        <f t="shared" si="51"/>
        <v>0</v>
      </c>
      <c r="N105" t="b">
        <f t="shared" si="52"/>
        <v>0</v>
      </c>
      <c r="O105">
        <f t="shared" si="53"/>
        <v>0</v>
      </c>
      <c r="P105">
        <f t="shared" si="54"/>
        <v>0</v>
      </c>
    </row>
    <row r="106" spans="1:16" x14ac:dyDescent="0.2">
      <c r="A106" s="5"/>
      <c r="I106">
        <f t="shared" si="49"/>
        <v>0</v>
      </c>
      <c r="J106">
        <f t="shared" si="50"/>
        <v>0</v>
      </c>
      <c r="K106">
        <f t="shared" si="51"/>
        <v>0</v>
      </c>
      <c r="N106" t="b">
        <f t="shared" si="52"/>
        <v>0</v>
      </c>
      <c r="O106">
        <f t="shared" si="53"/>
        <v>0</v>
      </c>
      <c r="P106">
        <f t="shared" si="54"/>
        <v>0</v>
      </c>
    </row>
    <row r="107" spans="1:16" x14ac:dyDescent="0.2">
      <c r="A107" s="5"/>
      <c r="I107">
        <f t="shared" si="49"/>
        <v>0</v>
      </c>
      <c r="J107">
        <f t="shared" si="50"/>
        <v>0</v>
      </c>
      <c r="K107">
        <f t="shared" si="51"/>
        <v>0</v>
      </c>
      <c r="N107" t="b">
        <f t="shared" si="52"/>
        <v>0</v>
      </c>
      <c r="O107">
        <f t="shared" si="53"/>
        <v>0</v>
      </c>
      <c r="P107">
        <f t="shared" si="54"/>
        <v>0</v>
      </c>
    </row>
    <row r="108" spans="1:16" x14ac:dyDescent="0.2">
      <c r="A108" s="5"/>
      <c r="I108">
        <f t="shared" si="49"/>
        <v>0</v>
      </c>
      <c r="J108">
        <f t="shared" si="50"/>
        <v>0</v>
      </c>
      <c r="K108">
        <f t="shared" si="51"/>
        <v>0</v>
      </c>
      <c r="N108" t="b">
        <f t="shared" si="52"/>
        <v>0</v>
      </c>
      <c r="O108">
        <f t="shared" si="53"/>
        <v>0</v>
      </c>
      <c r="P108">
        <f t="shared" si="54"/>
        <v>0</v>
      </c>
    </row>
    <row r="109" spans="1:16" x14ac:dyDescent="0.2">
      <c r="A109" s="5"/>
      <c r="I109">
        <f t="shared" si="49"/>
        <v>0</v>
      </c>
      <c r="J109">
        <f t="shared" si="50"/>
        <v>0</v>
      </c>
      <c r="K109">
        <f t="shared" si="51"/>
        <v>0</v>
      </c>
      <c r="N109" t="b">
        <f t="shared" si="52"/>
        <v>0</v>
      </c>
      <c r="O109">
        <f t="shared" si="53"/>
        <v>0</v>
      </c>
      <c r="P109">
        <f t="shared" si="54"/>
        <v>0</v>
      </c>
    </row>
    <row r="110" spans="1:16" x14ac:dyDescent="0.2">
      <c r="A110" s="5"/>
      <c r="I110">
        <f t="shared" si="49"/>
        <v>0</v>
      </c>
      <c r="J110">
        <f t="shared" si="50"/>
        <v>0</v>
      </c>
      <c r="K110">
        <f t="shared" si="51"/>
        <v>0</v>
      </c>
      <c r="N110" t="b">
        <f t="shared" si="52"/>
        <v>0</v>
      </c>
      <c r="O110">
        <f t="shared" si="53"/>
        <v>0</v>
      </c>
      <c r="P110">
        <f t="shared" si="54"/>
        <v>0</v>
      </c>
    </row>
    <row r="111" spans="1:16" x14ac:dyDescent="0.2">
      <c r="A111" s="5"/>
      <c r="I111">
        <f t="shared" si="49"/>
        <v>0</v>
      </c>
      <c r="J111">
        <f t="shared" si="50"/>
        <v>0</v>
      </c>
      <c r="K111">
        <f t="shared" si="51"/>
        <v>0</v>
      </c>
      <c r="N111" t="b">
        <f t="shared" si="52"/>
        <v>0</v>
      </c>
      <c r="O111">
        <f t="shared" si="53"/>
        <v>0</v>
      </c>
      <c r="P111">
        <f t="shared" si="54"/>
        <v>0</v>
      </c>
    </row>
    <row r="112" spans="1:16" x14ac:dyDescent="0.2">
      <c r="A112" s="5"/>
      <c r="I112">
        <f t="shared" si="49"/>
        <v>0</v>
      </c>
      <c r="J112">
        <f t="shared" si="50"/>
        <v>0</v>
      </c>
      <c r="K112">
        <f t="shared" si="51"/>
        <v>0</v>
      </c>
      <c r="N112" t="b">
        <f t="shared" si="52"/>
        <v>0</v>
      </c>
      <c r="O112">
        <f t="shared" si="53"/>
        <v>0</v>
      </c>
      <c r="P112">
        <f t="shared" si="54"/>
        <v>0</v>
      </c>
    </row>
    <row r="113" spans="1:16" x14ac:dyDescent="0.2">
      <c r="A113" s="5"/>
      <c r="I113">
        <f t="shared" si="49"/>
        <v>0</v>
      </c>
      <c r="J113">
        <f t="shared" si="50"/>
        <v>0</v>
      </c>
      <c r="K113">
        <f t="shared" si="51"/>
        <v>0</v>
      </c>
      <c r="N113" t="b">
        <f t="shared" si="52"/>
        <v>0</v>
      </c>
      <c r="O113">
        <f t="shared" si="53"/>
        <v>0</v>
      </c>
      <c r="P113">
        <f t="shared" si="54"/>
        <v>0</v>
      </c>
    </row>
    <row r="114" spans="1:16" x14ac:dyDescent="0.2">
      <c r="A114" s="5"/>
      <c r="I114">
        <f t="shared" si="49"/>
        <v>0</v>
      </c>
      <c r="J114">
        <f t="shared" si="50"/>
        <v>0</v>
      </c>
      <c r="K114">
        <f t="shared" si="51"/>
        <v>0</v>
      </c>
      <c r="N114" t="b">
        <f t="shared" si="52"/>
        <v>0</v>
      </c>
      <c r="O114">
        <f t="shared" si="53"/>
        <v>0</v>
      </c>
      <c r="P114">
        <f t="shared" si="54"/>
        <v>0</v>
      </c>
    </row>
    <row r="115" spans="1:16" x14ac:dyDescent="0.2">
      <c r="A115" s="5"/>
      <c r="I115">
        <f t="shared" si="49"/>
        <v>0</v>
      </c>
      <c r="J115">
        <f t="shared" si="50"/>
        <v>0</v>
      </c>
      <c r="K115">
        <f t="shared" si="51"/>
        <v>0</v>
      </c>
      <c r="N115" t="b">
        <f t="shared" si="52"/>
        <v>0</v>
      </c>
      <c r="O115">
        <f t="shared" si="53"/>
        <v>0</v>
      </c>
      <c r="P115">
        <f t="shared" si="54"/>
        <v>0</v>
      </c>
    </row>
    <row r="116" spans="1:16" x14ac:dyDescent="0.2">
      <c r="A116" s="5"/>
      <c r="I116">
        <f t="shared" si="49"/>
        <v>0</v>
      </c>
      <c r="J116">
        <f t="shared" si="50"/>
        <v>0</v>
      </c>
      <c r="K116">
        <f t="shared" si="51"/>
        <v>0</v>
      </c>
      <c r="N116" t="b">
        <f t="shared" si="52"/>
        <v>0</v>
      </c>
      <c r="O116">
        <f t="shared" si="53"/>
        <v>0</v>
      </c>
      <c r="P116">
        <f t="shared" si="54"/>
        <v>0</v>
      </c>
    </row>
    <row r="117" spans="1:16" x14ac:dyDescent="0.2">
      <c r="A117" s="5"/>
      <c r="I117">
        <f t="shared" si="49"/>
        <v>0</v>
      </c>
      <c r="J117">
        <f t="shared" si="50"/>
        <v>0</v>
      </c>
      <c r="K117">
        <f t="shared" si="51"/>
        <v>0</v>
      </c>
      <c r="N117" t="b">
        <f t="shared" si="52"/>
        <v>0</v>
      </c>
      <c r="O117">
        <f t="shared" si="53"/>
        <v>0</v>
      </c>
      <c r="P117">
        <f t="shared" si="54"/>
        <v>0</v>
      </c>
    </row>
    <row r="118" spans="1:16" x14ac:dyDescent="0.2">
      <c r="A118" s="5"/>
      <c r="I118">
        <f t="shared" si="49"/>
        <v>0</v>
      </c>
      <c r="J118">
        <f t="shared" si="50"/>
        <v>0</v>
      </c>
      <c r="K118">
        <f t="shared" si="51"/>
        <v>0</v>
      </c>
      <c r="N118" t="b">
        <f t="shared" si="52"/>
        <v>0</v>
      </c>
      <c r="O118">
        <f t="shared" si="53"/>
        <v>0</v>
      </c>
      <c r="P118">
        <f t="shared" si="54"/>
        <v>0</v>
      </c>
    </row>
    <row r="119" spans="1:16" x14ac:dyDescent="0.2">
      <c r="A119" s="5"/>
      <c r="I119">
        <f t="shared" si="49"/>
        <v>0</v>
      </c>
      <c r="J119">
        <f t="shared" si="50"/>
        <v>0</v>
      </c>
      <c r="K119">
        <f t="shared" si="51"/>
        <v>0</v>
      </c>
      <c r="N119" t="b">
        <f t="shared" si="52"/>
        <v>0</v>
      </c>
      <c r="O119">
        <f t="shared" si="53"/>
        <v>0</v>
      </c>
      <c r="P119">
        <f t="shared" si="54"/>
        <v>0</v>
      </c>
    </row>
    <row r="120" spans="1:16" x14ac:dyDescent="0.2">
      <c r="A120" s="5"/>
      <c r="I120">
        <f t="shared" si="49"/>
        <v>0</v>
      </c>
      <c r="J120">
        <f t="shared" si="50"/>
        <v>0</v>
      </c>
      <c r="K120">
        <f t="shared" si="51"/>
        <v>0</v>
      </c>
      <c r="N120" t="b">
        <f t="shared" si="52"/>
        <v>0</v>
      </c>
      <c r="O120">
        <f t="shared" si="53"/>
        <v>0</v>
      </c>
      <c r="P120">
        <f t="shared" si="54"/>
        <v>0</v>
      </c>
    </row>
    <row r="121" spans="1:16" x14ac:dyDescent="0.2">
      <c r="A121" s="5"/>
      <c r="I121">
        <f t="shared" ref="I121:I150" si="55">IF(EXACT(F121,"M"),C121,0)</f>
        <v>0</v>
      </c>
      <c r="J121">
        <f t="shared" ref="J121:J150" si="56">IF(EXACT(G121,"CheckingStarOneTXs"),C121,0)</f>
        <v>0</v>
      </c>
      <c r="K121">
        <f t="shared" ref="K121:K150" si="57">IF(AND(C121&lt;0,EXACT(G121,"VisaChaseTXs")),C121,0)</f>
        <v>0</v>
      </c>
      <c r="N121" t="b">
        <f t="shared" ref="N121:N150" si="58">AND(IF(G121="VisaChaseTXs",TRUE,FALSE),D121="Chase CC Payment")</f>
        <v>0</v>
      </c>
      <c r="O121">
        <f t="shared" ref="O121:O150" si="59">IF(EXACT(F121,""),C121,0)</f>
        <v>0</v>
      </c>
      <c r="P121">
        <f t="shared" ref="P121:P150" si="60">IF(AND(IF(C121&lt;0,C121,FALSE),E121&lt;&gt;"y"),C121,0)</f>
        <v>0</v>
      </c>
    </row>
    <row r="122" spans="1:16" x14ac:dyDescent="0.2">
      <c r="A122" s="5"/>
      <c r="I122">
        <f t="shared" si="55"/>
        <v>0</v>
      </c>
      <c r="J122">
        <f t="shared" si="56"/>
        <v>0</v>
      </c>
      <c r="K122">
        <f t="shared" si="57"/>
        <v>0</v>
      </c>
      <c r="N122" t="b">
        <f t="shared" si="58"/>
        <v>0</v>
      </c>
      <c r="O122">
        <f t="shared" si="59"/>
        <v>0</v>
      </c>
      <c r="P122">
        <f t="shared" si="60"/>
        <v>0</v>
      </c>
    </row>
    <row r="123" spans="1:16" x14ac:dyDescent="0.2">
      <c r="A123" s="5"/>
      <c r="I123">
        <f t="shared" si="55"/>
        <v>0</v>
      </c>
      <c r="J123">
        <f t="shared" si="56"/>
        <v>0</v>
      </c>
      <c r="K123">
        <f t="shared" si="57"/>
        <v>0</v>
      </c>
      <c r="N123" t="b">
        <f t="shared" si="58"/>
        <v>0</v>
      </c>
      <c r="O123">
        <f t="shared" si="59"/>
        <v>0</v>
      </c>
      <c r="P123">
        <f t="shared" si="60"/>
        <v>0</v>
      </c>
    </row>
    <row r="124" spans="1:16" x14ac:dyDescent="0.2">
      <c r="A124" s="5"/>
      <c r="I124">
        <f t="shared" si="55"/>
        <v>0</v>
      </c>
      <c r="J124">
        <f t="shared" si="56"/>
        <v>0</v>
      </c>
      <c r="K124">
        <f t="shared" si="57"/>
        <v>0</v>
      </c>
      <c r="N124" t="b">
        <f t="shared" si="58"/>
        <v>0</v>
      </c>
      <c r="O124">
        <f t="shared" si="59"/>
        <v>0</v>
      </c>
      <c r="P124">
        <f t="shared" si="60"/>
        <v>0</v>
      </c>
    </row>
    <row r="125" spans="1:16" x14ac:dyDescent="0.2">
      <c r="A125" s="5"/>
      <c r="I125">
        <f t="shared" si="55"/>
        <v>0</v>
      </c>
      <c r="J125">
        <f t="shared" si="56"/>
        <v>0</v>
      </c>
      <c r="K125">
        <f t="shared" si="57"/>
        <v>0</v>
      </c>
      <c r="N125" t="b">
        <f t="shared" si="58"/>
        <v>0</v>
      </c>
      <c r="O125">
        <f t="shared" si="59"/>
        <v>0</v>
      </c>
      <c r="P125">
        <f t="shared" si="60"/>
        <v>0</v>
      </c>
    </row>
    <row r="126" spans="1:16" x14ac:dyDescent="0.2">
      <c r="A126" s="5"/>
      <c r="I126">
        <f t="shared" si="55"/>
        <v>0</v>
      </c>
      <c r="J126">
        <f t="shared" si="56"/>
        <v>0</v>
      </c>
      <c r="K126">
        <f t="shared" si="57"/>
        <v>0</v>
      </c>
      <c r="N126" t="b">
        <f t="shared" si="58"/>
        <v>0</v>
      </c>
      <c r="O126">
        <f t="shared" si="59"/>
        <v>0</v>
      </c>
      <c r="P126">
        <f t="shared" si="60"/>
        <v>0</v>
      </c>
    </row>
    <row r="127" spans="1:16" x14ac:dyDescent="0.2">
      <c r="A127" s="5"/>
      <c r="I127">
        <f t="shared" si="55"/>
        <v>0</v>
      </c>
      <c r="J127">
        <f t="shared" si="56"/>
        <v>0</v>
      </c>
      <c r="K127">
        <f t="shared" si="57"/>
        <v>0</v>
      </c>
      <c r="N127" t="b">
        <f t="shared" si="58"/>
        <v>0</v>
      </c>
      <c r="O127">
        <f t="shared" si="59"/>
        <v>0</v>
      </c>
      <c r="P127">
        <f t="shared" si="60"/>
        <v>0</v>
      </c>
    </row>
    <row r="128" spans="1:16" x14ac:dyDescent="0.2">
      <c r="A128" s="5"/>
      <c r="I128">
        <f t="shared" si="55"/>
        <v>0</v>
      </c>
      <c r="J128">
        <f t="shared" si="56"/>
        <v>0</v>
      </c>
      <c r="K128">
        <f t="shared" si="57"/>
        <v>0</v>
      </c>
      <c r="N128" t="b">
        <f t="shared" si="58"/>
        <v>0</v>
      </c>
      <c r="O128">
        <f t="shared" si="59"/>
        <v>0</v>
      </c>
      <c r="P128">
        <f t="shared" si="60"/>
        <v>0</v>
      </c>
    </row>
    <row r="129" spans="1:16" x14ac:dyDescent="0.2">
      <c r="A129" s="5"/>
      <c r="I129">
        <f t="shared" si="55"/>
        <v>0</v>
      </c>
      <c r="J129">
        <f t="shared" si="56"/>
        <v>0</v>
      </c>
      <c r="K129">
        <f t="shared" si="57"/>
        <v>0</v>
      </c>
      <c r="N129" t="b">
        <f t="shared" si="58"/>
        <v>0</v>
      </c>
      <c r="O129">
        <f t="shared" si="59"/>
        <v>0</v>
      </c>
      <c r="P129">
        <f t="shared" si="60"/>
        <v>0</v>
      </c>
    </row>
    <row r="130" spans="1:16" x14ac:dyDescent="0.2">
      <c r="A130" s="5"/>
      <c r="I130">
        <f t="shared" si="55"/>
        <v>0</v>
      </c>
      <c r="J130">
        <f t="shared" si="56"/>
        <v>0</v>
      </c>
      <c r="K130">
        <f t="shared" si="57"/>
        <v>0</v>
      </c>
      <c r="N130" t="b">
        <f t="shared" si="58"/>
        <v>0</v>
      </c>
      <c r="O130">
        <f t="shared" si="59"/>
        <v>0</v>
      </c>
      <c r="P130">
        <f t="shared" si="60"/>
        <v>0</v>
      </c>
    </row>
    <row r="131" spans="1:16" x14ac:dyDescent="0.2">
      <c r="A131" s="5"/>
      <c r="I131">
        <f t="shared" si="55"/>
        <v>0</v>
      </c>
      <c r="J131">
        <f t="shared" si="56"/>
        <v>0</v>
      </c>
      <c r="K131">
        <f t="shared" si="57"/>
        <v>0</v>
      </c>
      <c r="N131" t="b">
        <f t="shared" si="58"/>
        <v>0</v>
      </c>
      <c r="O131">
        <f t="shared" si="59"/>
        <v>0</v>
      </c>
      <c r="P131">
        <f t="shared" si="60"/>
        <v>0</v>
      </c>
    </row>
    <row r="132" spans="1:16" x14ac:dyDescent="0.2">
      <c r="A132" s="5"/>
      <c r="I132">
        <f t="shared" si="55"/>
        <v>0</v>
      </c>
      <c r="J132">
        <f t="shared" si="56"/>
        <v>0</v>
      </c>
      <c r="K132">
        <f t="shared" si="57"/>
        <v>0</v>
      </c>
      <c r="N132" t="b">
        <f t="shared" si="58"/>
        <v>0</v>
      </c>
      <c r="O132">
        <f t="shared" si="59"/>
        <v>0</v>
      </c>
      <c r="P132">
        <f t="shared" si="60"/>
        <v>0</v>
      </c>
    </row>
    <row r="133" spans="1:16" x14ac:dyDescent="0.2">
      <c r="A133" s="5"/>
      <c r="I133">
        <f t="shared" si="55"/>
        <v>0</v>
      </c>
      <c r="J133">
        <f t="shared" si="56"/>
        <v>0</v>
      </c>
      <c r="K133">
        <f t="shared" si="57"/>
        <v>0</v>
      </c>
      <c r="N133" t="b">
        <f t="shared" si="58"/>
        <v>0</v>
      </c>
      <c r="O133">
        <f t="shared" si="59"/>
        <v>0</v>
      </c>
      <c r="P133">
        <f t="shared" si="60"/>
        <v>0</v>
      </c>
    </row>
    <row r="134" spans="1:16" x14ac:dyDescent="0.2">
      <c r="A134" s="5"/>
      <c r="I134">
        <f t="shared" si="55"/>
        <v>0</v>
      </c>
      <c r="J134">
        <f t="shared" si="56"/>
        <v>0</v>
      </c>
      <c r="K134">
        <f t="shared" si="57"/>
        <v>0</v>
      </c>
      <c r="N134" t="b">
        <f t="shared" si="58"/>
        <v>0</v>
      </c>
      <c r="O134">
        <f t="shared" si="59"/>
        <v>0</v>
      </c>
      <c r="P134">
        <f t="shared" si="60"/>
        <v>0</v>
      </c>
    </row>
    <row r="135" spans="1:16" x14ac:dyDescent="0.2">
      <c r="A135" s="5"/>
      <c r="I135">
        <f t="shared" si="55"/>
        <v>0</v>
      </c>
      <c r="J135">
        <f t="shared" si="56"/>
        <v>0</v>
      </c>
      <c r="K135">
        <f t="shared" si="57"/>
        <v>0</v>
      </c>
      <c r="N135" t="b">
        <f t="shared" si="58"/>
        <v>0</v>
      </c>
      <c r="O135">
        <f t="shared" si="59"/>
        <v>0</v>
      </c>
      <c r="P135">
        <f t="shared" si="60"/>
        <v>0</v>
      </c>
    </row>
    <row r="136" spans="1:16" x14ac:dyDescent="0.2">
      <c r="A136" s="5"/>
      <c r="I136">
        <f t="shared" si="55"/>
        <v>0</v>
      </c>
      <c r="J136">
        <f t="shared" si="56"/>
        <v>0</v>
      </c>
      <c r="K136">
        <f t="shared" si="57"/>
        <v>0</v>
      </c>
      <c r="N136" t="b">
        <f t="shared" si="58"/>
        <v>0</v>
      </c>
      <c r="O136">
        <f t="shared" si="59"/>
        <v>0</v>
      </c>
      <c r="P136">
        <f t="shared" si="60"/>
        <v>0</v>
      </c>
    </row>
    <row r="137" spans="1:16" x14ac:dyDescent="0.2">
      <c r="A137" s="5"/>
      <c r="I137">
        <f t="shared" si="55"/>
        <v>0</v>
      </c>
      <c r="J137">
        <f t="shared" si="56"/>
        <v>0</v>
      </c>
      <c r="K137">
        <f t="shared" si="57"/>
        <v>0</v>
      </c>
      <c r="N137" t="b">
        <f t="shared" si="58"/>
        <v>0</v>
      </c>
      <c r="O137">
        <f t="shared" si="59"/>
        <v>0</v>
      </c>
      <c r="P137">
        <f t="shared" si="60"/>
        <v>0</v>
      </c>
    </row>
    <row r="138" spans="1:16" x14ac:dyDescent="0.2">
      <c r="A138" s="5"/>
      <c r="I138">
        <f t="shared" si="55"/>
        <v>0</v>
      </c>
      <c r="J138">
        <f t="shared" si="56"/>
        <v>0</v>
      </c>
      <c r="K138">
        <f t="shared" si="57"/>
        <v>0</v>
      </c>
      <c r="N138" t="b">
        <f t="shared" si="58"/>
        <v>0</v>
      </c>
      <c r="O138">
        <f t="shared" si="59"/>
        <v>0</v>
      </c>
      <c r="P138">
        <f t="shared" si="60"/>
        <v>0</v>
      </c>
    </row>
    <row r="139" spans="1:16" x14ac:dyDescent="0.2">
      <c r="A139" s="5"/>
      <c r="I139">
        <f t="shared" si="55"/>
        <v>0</v>
      </c>
      <c r="J139">
        <f t="shared" si="56"/>
        <v>0</v>
      </c>
      <c r="K139">
        <f t="shared" si="57"/>
        <v>0</v>
      </c>
      <c r="N139" t="b">
        <f t="shared" si="58"/>
        <v>0</v>
      </c>
      <c r="O139">
        <f t="shared" si="59"/>
        <v>0</v>
      </c>
      <c r="P139">
        <f t="shared" si="60"/>
        <v>0</v>
      </c>
    </row>
    <row r="140" spans="1:16" x14ac:dyDescent="0.2">
      <c r="A140" s="5"/>
      <c r="I140">
        <f t="shared" si="55"/>
        <v>0</v>
      </c>
      <c r="J140">
        <f t="shared" si="56"/>
        <v>0</v>
      </c>
      <c r="K140">
        <f t="shared" si="57"/>
        <v>0</v>
      </c>
      <c r="N140" t="b">
        <f t="shared" si="58"/>
        <v>0</v>
      </c>
      <c r="O140">
        <f t="shared" si="59"/>
        <v>0</v>
      </c>
      <c r="P140">
        <f t="shared" si="60"/>
        <v>0</v>
      </c>
    </row>
    <row r="141" spans="1:16" x14ac:dyDescent="0.2">
      <c r="A141" s="5"/>
      <c r="I141">
        <f t="shared" si="55"/>
        <v>0</v>
      </c>
      <c r="J141">
        <f t="shared" si="56"/>
        <v>0</v>
      </c>
      <c r="K141">
        <f t="shared" si="57"/>
        <v>0</v>
      </c>
      <c r="N141" t="b">
        <f t="shared" si="58"/>
        <v>0</v>
      </c>
      <c r="O141">
        <f t="shared" si="59"/>
        <v>0</v>
      </c>
      <c r="P141">
        <f t="shared" si="60"/>
        <v>0</v>
      </c>
    </row>
    <row r="142" spans="1:16" x14ac:dyDescent="0.2">
      <c r="A142" s="5"/>
      <c r="I142">
        <f t="shared" si="55"/>
        <v>0</v>
      </c>
      <c r="J142">
        <f t="shared" si="56"/>
        <v>0</v>
      </c>
      <c r="K142">
        <f t="shared" si="57"/>
        <v>0</v>
      </c>
      <c r="N142" t="b">
        <f t="shared" si="58"/>
        <v>0</v>
      </c>
      <c r="O142">
        <f t="shared" si="59"/>
        <v>0</v>
      </c>
      <c r="P142">
        <f t="shared" si="60"/>
        <v>0</v>
      </c>
    </row>
    <row r="143" spans="1:16" x14ac:dyDescent="0.2">
      <c r="A143" s="5"/>
      <c r="I143">
        <f t="shared" si="55"/>
        <v>0</v>
      </c>
      <c r="J143">
        <f t="shared" si="56"/>
        <v>0</v>
      </c>
      <c r="K143">
        <f t="shared" si="57"/>
        <v>0</v>
      </c>
      <c r="N143" t="b">
        <f t="shared" si="58"/>
        <v>0</v>
      </c>
      <c r="O143">
        <f t="shared" si="59"/>
        <v>0</v>
      </c>
      <c r="P143">
        <f t="shared" si="60"/>
        <v>0</v>
      </c>
    </row>
    <row r="144" spans="1:16" x14ac:dyDescent="0.2">
      <c r="A144" s="5"/>
      <c r="I144">
        <f t="shared" si="55"/>
        <v>0</v>
      </c>
      <c r="J144">
        <f t="shared" si="56"/>
        <v>0</v>
      </c>
      <c r="K144">
        <f t="shared" si="57"/>
        <v>0</v>
      </c>
      <c r="N144" t="b">
        <f t="shared" si="58"/>
        <v>0</v>
      </c>
      <c r="O144">
        <f t="shared" si="59"/>
        <v>0</v>
      </c>
      <c r="P144">
        <f t="shared" si="60"/>
        <v>0</v>
      </c>
    </row>
    <row r="145" spans="1:16" x14ac:dyDescent="0.2">
      <c r="A145" s="5"/>
      <c r="I145">
        <f t="shared" si="55"/>
        <v>0</v>
      </c>
      <c r="J145">
        <f t="shared" si="56"/>
        <v>0</v>
      </c>
      <c r="K145">
        <f t="shared" si="57"/>
        <v>0</v>
      </c>
      <c r="N145" t="b">
        <f t="shared" si="58"/>
        <v>0</v>
      </c>
      <c r="O145">
        <f t="shared" si="59"/>
        <v>0</v>
      </c>
      <c r="P145">
        <f t="shared" si="60"/>
        <v>0</v>
      </c>
    </row>
    <row r="146" spans="1:16" x14ac:dyDescent="0.2">
      <c r="A146" s="5"/>
      <c r="I146">
        <f t="shared" si="55"/>
        <v>0</v>
      </c>
      <c r="J146">
        <f t="shared" si="56"/>
        <v>0</v>
      </c>
      <c r="K146">
        <f t="shared" si="57"/>
        <v>0</v>
      </c>
      <c r="N146" t="b">
        <f t="shared" si="58"/>
        <v>0</v>
      </c>
      <c r="O146">
        <f t="shared" si="59"/>
        <v>0</v>
      </c>
      <c r="P146">
        <f t="shared" si="60"/>
        <v>0</v>
      </c>
    </row>
    <row r="147" spans="1:16" x14ac:dyDescent="0.2">
      <c r="A147" s="5"/>
      <c r="I147">
        <f t="shared" si="55"/>
        <v>0</v>
      </c>
      <c r="J147">
        <f t="shared" si="56"/>
        <v>0</v>
      </c>
      <c r="K147">
        <f t="shared" si="57"/>
        <v>0</v>
      </c>
      <c r="N147" t="b">
        <f t="shared" si="58"/>
        <v>0</v>
      </c>
      <c r="O147">
        <f t="shared" si="59"/>
        <v>0</v>
      </c>
      <c r="P147">
        <f t="shared" si="60"/>
        <v>0</v>
      </c>
    </row>
    <row r="148" spans="1:16" x14ac:dyDescent="0.2">
      <c r="A148" s="5"/>
      <c r="I148">
        <f t="shared" si="55"/>
        <v>0</v>
      </c>
      <c r="J148">
        <f t="shared" si="56"/>
        <v>0</v>
      </c>
      <c r="K148">
        <f t="shared" si="57"/>
        <v>0</v>
      </c>
      <c r="N148" t="b">
        <f t="shared" si="58"/>
        <v>0</v>
      </c>
      <c r="O148">
        <f t="shared" si="59"/>
        <v>0</v>
      </c>
      <c r="P148">
        <f t="shared" si="60"/>
        <v>0</v>
      </c>
    </row>
    <row r="149" spans="1:16" x14ac:dyDescent="0.2">
      <c r="A149" s="5"/>
      <c r="I149">
        <f t="shared" si="55"/>
        <v>0</v>
      </c>
      <c r="J149">
        <f t="shared" si="56"/>
        <v>0</v>
      </c>
      <c r="K149">
        <f t="shared" si="57"/>
        <v>0</v>
      </c>
      <c r="N149" t="b">
        <f t="shared" si="58"/>
        <v>0</v>
      </c>
      <c r="O149">
        <f t="shared" si="59"/>
        <v>0</v>
      </c>
      <c r="P149">
        <f t="shared" si="60"/>
        <v>0</v>
      </c>
    </row>
    <row r="150" spans="1:16" x14ac:dyDescent="0.2">
      <c r="A150" s="5"/>
      <c r="I150">
        <f t="shared" si="55"/>
        <v>0</v>
      </c>
      <c r="J150">
        <f t="shared" si="56"/>
        <v>0</v>
      </c>
      <c r="K150">
        <f t="shared" si="57"/>
        <v>0</v>
      </c>
      <c r="N150" t="b">
        <f t="shared" si="58"/>
        <v>0</v>
      </c>
      <c r="O150">
        <f t="shared" si="59"/>
        <v>0</v>
      </c>
      <c r="P150">
        <f t="shared" si="60"/>
        <v>0</v>
      </c>
    </row>
    <row r="151" spans="1:16" x14ac:dyDescent="0.2">
      <c r="A151" s="5"/>
      <c r="I151">
        <f t="shared" ref="I151:I152" si="61">IF(EXACT(F151,"M"),C151,0)</f>
        <v>0</v>
      </c>
      <c r="J151">
        <f t="shared" ref="J151:J152" si="62">IF(EXACT(G151,"CheckingStarOneTXs"),C151,0)</f>
        <v>0</v>
      </c>
      <c r="K151">
        <f t="shared" ref="K151:K152" si="63">IF(AND(C151&lt;0,EXACT(G151,"VisaChaseTXs")),C151,0)</f>
        <v>0</v>
      </c>
      <c r="N151" t="b">
        <f t="shared" ref="N151:N152" si="64">AND(IF(G151="VisaChaseTXs",TRUE,FALSE),D151="Chase CC Payment")</f>
        <v>0</v>
      </c>
      <c r="O151">
        <f t="shared" ref="O151:O152" si="65">IF(EXACT(F151,""),C151,0)</f>
        <v>0</v>
      </c>
      <c r="P151">
        <f t="shared" ref="P151:P152" si="66">IF(AND(IF(C151&lt;0,C151,FALSE),E151&lt;&gt;"y"),C151,0)</f>
        <v>0</v>
      </c>
    </row>
    <row r="152" spans="1:16" x14ac:dyDescent="0.2">
      <c r="A152" s="5"/>
      <c r="I152">
        <f t="shared" si="61"/>
        <v>0</v>
      </c>
      <c r="J152">
        <f t="shared" si="62"/>
        <v>0</v>
      </c>
      <c r="K152">
        <f t="shared" si="63"/>
        <v>0</v>
      </c>
      <c r="N152" t="b">
        <f t="shared" si="64"/>
        <v>0</v>
      </c>
      <c r="O152">
        <f t="shared" si="65"/>
        <v>0</v>
      </c>
      <c r="P152">
        <f t="shared" si="66"/>
        <v>0</v>
      </c>
    </row>
    <row r="153" spans="1:16" x14ac:dyDescent="0.2">
      <c r="P153">
        <f>SUM(P2:P152)</f>
        <v>-3930.17</v>
      </c>
    </row>
    <row r="155" spans="1:16" x14ac:dyDescent="0.2">
      <c r="J155">
        <f>SUM(I2:I36)</f>
        <v>1433.9199999999996</v>
      </c>
      <c r="K155" t="s">
        <v>22</v>
      </c>
    </row>
  </sheetData>
  <autoFilter ref="F1:F152" xr:uid="{AA399A78-87C1-CC47-9F5F-8D11457D5A7A}"/>
  <phoneticPr fontId="1" type="noConversion"/>
  <conditionalFormatting sqref="C1">
    <cfRule type="cellIs" dxfId="1" priority="1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DD93C-320D-4249-B55E-DFB5B5E5BEC6}">
  <dimension ref="A2:B12"/>
  <sheetViews>
    <sheetView workbookViewId="0">
      <selection activeCell="A2" sqref="A2"/>
    </sheetView>
  </sheetViews>
  <sheetFormatPr baseColWidth="10" defaultRowHeight="16" x14ac:dyDescent="0.2"/>
  <cols>
    <col min="1" max="1" width="28.5" bestFit="1" customWidth="1"/>
    <col min="2" max="2" width="7.83203125" bestFit="1" customWidth="1"/>
  </cols>
  <sheetData>
    <row r="2" spans="1:2" x14ac:dyDescent="0.2">
      <c r="A2"/>
      <c r="B2"/>
    </row>
    <row r="3" spans="1:2" x14ac:dyDescent="0.2">
      <c r="A3"/>
      <c r="B3"/>
    </row>
    <row r="4" spans="1:2" x14ac:dyDescent="0.2">
      <c r="A4"/>
      <c r="B4"/>
    </row>
    <row r="5" spans="1:2" x14ac:dyDescent="0.2">
      <c r="A5"/>
      <c r="B5"/>
    </row>
    <row r="6" spans="1:2" x14ac:dyDescent="0.2">
      <c r="A6"/>
      <c r="B6"/>
    </row>
    <row r="7" spans="1:2" x14ac:dyDescent="0.2">
      <c r="A7"/>
      <c r="B7"/>
    </row>
    <row r="8" spans="1:2" x14ac:dyDescent="0.2">
      <c r="A8"/>
      <c r="B8"/>
    </row>
    <row r="9" spans="1:2" x14ac:dyDescent="0.2">
      <c r="A9"/>
      <c r="B9"/>
    </row>
    <row r="10" spans="1:2" x14ac:dyDescent="0.2">
      <c r="A10"/>
      <c r="B10"/>
    </row>
    <row r="11" spans="1:2" x14ac:dyDescent="0.2">
      <c r="A11"/>
      <c r="B11"/>
    </row>
    <row r="12" spans="1:2" x14ac:dyDescent="0.2">
      <c r="A12"/>
      <c r="B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F73A-74A6-734E-B20C-76662F69D3F3}">
  <dimension ref="A1:R57"/>
  <sheetViews>
    <sheetView tabSelected="1" topLeftCell="A37" workbookViewId="0">
      <selection activeCell="J25" sqref="J25"/>
    </sheetView>
  </sheetViews>
  <sheetFormatPr baseColWidth="10" defaultRowHeight="16" x14ac:dyDescent="0.2"/>
  <cols>
    <col min="1" max="1" width="11.83203125" bestFit="1" customWidth="1"/>
    <col min="2" max="2" width="49.6640625" bestFit="1" customWidth="1"/>
    <col min="3" max="3" width="7.83203125" bestFit="1" customWidth="1"/>
    <col min="4" max="4" width="28.5" bestFit="1" customWidth="1"/>
    <col min="6" max="6" width="2.83203125" bestFit="1" customWidth="1"/>
    <col min="7" max="7" width="18" bestFit="1" customWidth="1"/>
    <col min="8" max="8" width="18" customWidth="1"/>
    <col min="12" max="12" width="11.83203125" bestFit="1" customWidth="1"/>
    <col min="13" max="13" width="49.6640625" bestFit="1" customWidth="1"/>
    <col min="14" max="14" width="8.83203125" bestFit="1" customWidth="1"/>
    <col min="15" max="15" width="28.5" bestFit="1" customWidth="1"/>
    <col min="16" max="16" width="2" bestFit="1" customWidth="1"/>
    <col min="17" max="17" width="2.83203125" bestFit="1" customWidth="1"/>
    <col min="18" max="18" width="18" bestFit="1" customWidth="1"/>
  </cols>
  <sheetData>
    <row r="1" spans="1:18" x14ac:dyDescent="0.2">
      <c r="A1" t="s">
        <v>24</v>
      </c>
      <c r="J1" t="s">
        <v>26</v>
      </c>
      <c r="K1" t="s">
        <v>25</v>
      </c>
      <c r="L1" s="3" t="s">
        <v>0</v>
      </c>
      <c r="M1" t="s">
        <v>1</v>
      </c>
      <c r="N1" s="1" t="s">
        <v>2</v>
      </c>
      <c r="O1" t="s">
        <v>3</v>
      </c>
      <c r="P1" t="s">
        <v>4</v>
      </c>
      <c r="Q1" t="s">
        <v>5</v>
      </c>
      <c r="R1" s="2" t="s">
        <v>6</v>
      </c>
    </row>
    <row r="2" spans="1:18" x14ac:dyDescent="0.2">
      <c r="A2" s="5"/>
      <c r="B2"/>
      <c r="C2"/>
      <c r="D2"/>
      <c r="F2"/>
      <c r="G2"/>
      <c r="H2" t="str">
        <f>LEFT(B2,6)</f>
        <v>BEST L</v>
      </c>
      <c r="I2">
        <f>VLOOKUP(H2,$K$2:$N$50,4,FALSE)</f>
        <v>-24.19</v>
      </c>
      <c r="J2">
        <f t="shared" ref="J2:J50" si="0">IF(ISNA(I2),C2,0)</f>
        <v>0</v>
      </c>
      <c r="K2" t="str">
        <f>LEFT(M2,6)</f>
        <v>DESERT</v>
      </c>
      <c r="L2" s="5"/>
      <c r="M2"/>
      <c r="N2"/>
      <c r="O2"/>
      <c r="R2"/>
    </row>
    <row r="3" spans="1:18" x14ac:dyDescent="0.2">
      <c r="A3" s="5"/>
      <c r="B3"/>
      <c r="C3"/>
      <c r="D3"/>
      <c r="F3"/>
      <c r="G3"/>
      <c r="H3" t="str">
        <f t="shared" ref="H3:H27" si="1">LEFT(B3,6)</f>
        <v>NV ENE</v>
      </c>
      <c r="I3">
        <f t="shared" ref="I3:I50" si="2">VLOOKUP(H3,$K$2:$N$50,4,FALSE)</f>
        <v>-59.74</v>
      </c>
      <c r="J3">
        <f t="shared" si="0"/>
        <v>0</v>
      </c>
      <c r="K3" t="str">
        <f t="shared" ref="K3:K50" si="3">LEFT(M3,6)</f>
        <v>HIGH D</v>
      </c>
      <c r="L3" s="5"/>
      <c r="M3"/>
      <c r="N3"/>
      <c r="O3"/>
      <c r="R3"/>
    </row>
    <row r="4" spans="1:18" x14ac:dyDescent="0.2">
      <c r="A4" s="5"/>
      <c r="B4"/>
      <c r="C4"/>
      <c r="D4"/>
      <c r="F4"/>
      <c r="G4"/>
      <c r="H4" t="str">
        <f t="shared" si="1"/>
        <v>RENO B</v>
      </c>
      <c r="I4">
        <f t="shared" si="2"/>
        <v>-40</v>
      </c>
      <c r="J4">
        <f t="shared" si="0"/>
        <v>0</v>
      </c>
      <c r="K4" t="str">
        <f t="shared" si="3"/>
        <v>CarMax</v>
      </c>
      <c r="L4" s="5"/>
      <c r="M4"/>
      <c r="N4"/>
      <c r="O4"/>
      <c r="Q4"/>
      <c r="R4"/>
    </row>
    <row r="5" spans="1:18" x14ac:dyDescent="0.2">
      <c r="A5" s="5"/>
      <c r="B5"/>
      <c r="C5"/>
      <c r="D5"/>
      <c r="F5"/>
      <c r="G5"/>
      <c r="H5" t="str">
        <f t="shared" si="1"/>
        <v>EPayme</v>
      </c>
      <c r="I5">
        <f t="shared" si="2"/>
        <v>-241.41</v>
      </c>
      <c r="J5">
        <f t="shared" si="0"/>
        <v>0</v>
      </c>
      <c r="K5" t="str">
        <f t="shared" si="3"/>
        <v>SSA  T</v>
      </c>
      <c r="L5" s="5"/>
      <c r="M5"/>
      <c r="N5"/>
      <c r="O5"/>
      <c r="Q5"/>
      <c r="R5"/>
    </row>
    <row r="6" spans="1:18" x14ac:dyDescent="0.2">
      <c r="A6" s="5"/>
      <c r="B6"/>
      <c r="C6"/>
      <c r="D6"/>
      <c r="F6"/>
      <c r="G6"/>
      <c r="H6" t="str">
        <f t="shared" si="1"/>
        <v>TMOBIL</v>
      </c>
      <c r="I6">
        <f t="shared" si="2"/>
        <v>-24.17</v>
      </c>
      <c r="J6">
        <f t="shared" si="0"/>
        <v>0</v>
      </c>
      <c r="K6" t="str">
        <f t="shared" si="3"/>
        <v>Patien</v>
      </c>
      <c r="L6" s="5"/>
      <c r="M6"/>
      <c r="N6"/>
      <c r="O6"/>
      <c r="Q6"/>
      <c r="R6"/>
    </row>
    <row r="7" spans="1:18" x14ac:dyDescent="0.2">
      <c r="A7" s="5"/>
      <c r="B7"/>
      <c r="C7"/>
      <c r="D7"/>
      <c r="F7"/>
      <c r="G7"/>
      <c r="H7" t="str">
        <f t="shared" si="1"/>
        <v>MSFT *</v>
      </c>
      <c r="I7" t="e">
        <f t="shared" si="2"/>
        <v>#N/A</v>
      </c>
      <c r="J7">
        <f t="shared" si="0"/>
        <v>-12.5</v>
      </c>
      <c r="K7" t="str">
        <f t="shared" si="3"/>
        <v xml:space="preserve">WASTE </v>
      </c>
      <c r="L7" s="5"/>
      <c r="M7"/>
      <c r="N7"/>
      <c r="O7"/>
      <c r="Q7"/>
      <c r="R7"/>
    </row>
    <row r="8" spans="1:18" x14ac:dyDescent="0.2">
      <c r="A8" s="5"/>
      <c r="B8"/>
      <c r="C8"/>
      <c r="D8"/>
      <c r="F8"/>
      <c r="G8"/>
      <c r="H8" t="str">
        <f t="shared" si="1"/>
        <v>Dropbo</v>
      </c>
      <c r="I8" t="e">
        <f t="shared" si="2"/>
        <v>#N/A</v>
      </c>
      <c r="J8">
        <f t="shared" si="0"/>
        <v>-11.99</v>
      </c>
      <c r="K8" t="str">
        <f t="shared" si="3"/>
        <v>FASTRA</v>
      </c>
      <c r="L8" s="5"/>
      <c r="M8"/>
      <c r="N8"/>
      <c r="O8"/>
      <c r="R8"/>
    </row>
    <row r="9" spans="1:18" x14ac:dyDescent="0.2">
      <c r="A9" s="5"/>
      <c r="B9"/>
      <c r="C9"/>
      <c r="D9"/>
      <c r="F9"/>
      <c r="G9"/>
      <c r="H9" t="str">
        <f t="shared" si="1"/>
        <v xml:space="preserve">GEICO </v>
      </c>
      <c r="I9" t="e">
        <f t="shared" si="2"/>
        <v>#N/A</v>
      </c>
      <c r="J9">
        <f t="shared" si="0"/>
        <v>-74.680000000000007</v>
      </c>
      <c r="K9" t="str">
        <f t="shared" si="3"/>
        <v>RENO E</v>
      </c>
      <c r="L9" s="5"/>
      <c r="M9"/>
      <c r="N9"/>
      <c r="O9"/>
      <c r="R9"/>
    </row>
    <row r="10" spans="1:18" x14ac:dyDescent="0.2">
      <c r="A10" s="5"/>
      <c r="B10"/>
      <c r="C10"/>
      <c r="D10"/>
      <c r="F10"/>
      <c r="G10"/>
      <c r="H10" t="str">
        <f t="shared" si="1"/>
        <v>VSP 80</v>
      </c>
      <c r="I10" t="e">
        <f t="shared" si="2"/>
        <v>#N/A</v>
      </c>
      <c r="J10">
        <f t="shared" si="0"/>
        <v>-13.84</v>
      </c>
      <c r="K10" t="str">
        <f t="shared" si="3"/>
        <v>APPLE.</v>
      </c>
      <c r="L10" s="5"/>
      <c r="M10"/>
      <c r="N10"/>
      <c r="O10"/>
      <c r="Q10"/>
      <c r="R10"/>
    </row>
    <row r="11" spans="1:18" x14ac:dyDescent="0.2">
      <c r="A11" s="5"/>
      <c r="B11"/>
      <c r="C11"/>
      <c r="D11"/>
      <c r="F11"/>
      <c r="G11"/>
      <c r="H11" t="str">
        <f t="shared" si="1"/>
        <v>CarMax</v>
      </c>
      <c r="I11">
        <f t="shared" si="2"/>
        <v>-297.33999999999997</v>
      </c>
      <c r="J11">
        <f t="shared" si="0"/>
        <v>0</v>
      </c>
      <c r="K11" t="str">
        <f t="shared" si="3"/>
        <v>SPECTR</v>
      </c>
      <c r="L11" s="5"/>
      <c r="M11"/>
      <c r="N11"/>
      <c r="O11"/>
      <c r="Q11"/>
      <c r="R11"/>
    </row>
    <row r="12" spans="1:18" x14ac:dyDescent="0.2">
      <c r="A12" s="5"/>
      <c r="B12"/>
      <c r="C12"/>
      <c r="D12"/>
      <c r="F12"/>
      <c r="G12"/>
      <c r="H12" t="str">
        <f t="shared" si="1"/>
        <v>SSA  T</v>
      </c>
      <c r="I12">
        <f t="shared" si="2"/>
        <v>2378.3000000000002</v>
      </c>
      <c r="J12">
        <f t="shared" si="0"/>
        <v>0</v>
      </c>
      <c r="K12" t="str">
        <f t="shared" si="3"/>
        <v>STEVEN</v>
      </c>
      <c r="L12" s="5"/>
      <c r="M12"/>
      <c r="N12"/>
      <c r="O12"/>
      <c r="Q12"/>
      <c r="R12"/>
    </row>
    <row r="13" spans="1:18" x14ac:dyDescent="0.2">
      <c r="A13" s="5"/>
      <c r="B13"/>
      <c r="C13"/>
      <c r="D13"/>
      <c r="F13"/>
      <c r="G13"/>
      <c r="H13" t="str">
        <f t="shared" si="1"/>
        <v>Patien</v>
      </c>
      <c r="I13">
        <f t="shared" si="2"/>
        <v>-21.92</v>
      </c>
      <c r="J13">
        <f t="shared" si="0"/>
        <v>0</v>
      </c>
      <c r="K13" t="str">
        <f t="shared" si="3"/>
        <v>SPECTR</v>
      </c>
      <c r="L13" s="5"/>
      <c r="M13"/>
      <c r="N13"/>
      <c r="O13"/>
      <c r="Q13"/>
      <c r="R13"/>
    </row>
    <row r="14" spans="1:18" x14ac:dyDescent="0.2">
      <c r="A14" s="5"/>
      <c r="B14"/>
      <c r="C14"/>
      <c r="D14"/>
      <c r="F14"/>
      <c r="G14"/>
      <c r="H14" t="str">
        <f t="shared" si="1"/>
        <v xml:space="preserve">WASTE </v>
      </c>
      <c r="I14">
        <f t="shared" si="2"/>
        <v>-67.64</v>
      </c>
      <c r="J14">
        <f t="shared" si="0"/>
        <v>0</v>
      </c>
      <c r="K14" t="str">
        <f t="shared" si="3"/>
        <v>SPRING</v>
      </c>
      <c r="L14" s="5"/>
      <c r="M14"/>
      <c r="N14"/>
      <c r="O14"/>
      <c r="R14"/>
    </row>
    <row r="15" spans="1:18" x14ac:dyDescent="0.2">
      <c r="A15" s="5"/>
      <c r="B15"/>
      <c r="C15"/>
      <c r="D15"/>
      <c r="F15"/>
      <c r="G15"/>
      <c r="H15" t="str">
        <f t="shared" si="1"/>
        <v>APPLE.</v>
      </c>
      <c r="I15">
        <f t="shared" si="2"/>
        <v>-2.99</v>
      </c>
      <c r="J15">
        <f t="shared" si="0"/>
        <v>0</v>
      </c>
      <c r="K15" t="str">
        <f t="shared" si="3"/>
        <v xml:space="preserve">ADOBE </v>
      </c>
      <c r="L15" s="5"/>
      <c r="M15"/>
      <c r="N15"/>
      <c r="O15"/>
      <c r="Q15"/>
      <c r="R15"/>
    </row>
    <row r="16" spans="1:18" x14ac:dyDescent="0.2">
      <c r="A16" s="5"/>
      <c r="B16"/>
      <c r="C16"/>
      <c r="D16"/>
      <c r="F16"/>
      <c r="G16"/>
      <c r="H16" t="str">
        <f t="shared" si="1"/>
        <v>SPECTR</v>
      </c>
      <c r="I16">
        <f t="shared" si="2"/>
        <v>-45</v>
      </c>
      <c r="J16">
        <f t="shared" si="0"/>
        <v>0</v>
      </c>
      <c r="K16" t="str">
        <f t="shared" si="3"/>
        <v>FAMILY</v>
      </c>
      <c r="L16" s="5"/>
      <c r="M16"/>
      <c r="N16"/>
      <c r="O16"/>
      <c r="R16"/>
    </row>
    <row r="17" spans="1:18" x14ac:dyDescent="0.2">
      <c r="A17" s="5"/>
      <c r="B17"/>
      <c r="C17"/>
      <c r="D17"/>
      <c r="F17"/>
      <c r="G17"/>
      <c r="H17" t="str">
        <f t="shared" si="1"/>
        <v>STEVEN</v>
      </c>
      <c r="I17">
        <f t="shared" si="2"/>
        <v>-50</v>
      </c>
      <c r="J17">
        <f t="shared" si="0"/>
        <v>0</v>
      </c>
      <c r="K17" t="str">
        <f t="shared" si="3"/>
        <v>eBay O</v>
      </c>
      <c r="L17" s="5"/>
      <c r="M17"/>
      <c r="N17"/>
      <c r="O17"/>
      <c r="R17"/>
    </row>
    <row r="18" spans="1:18" x14ac:dyDescent="0.2">
      <c r="A18" s="5"/>
      <c r="B18"/>
      <c r="C18"/>
      <c r="D18"/>
      <c r="F18"/>
      <c r="G18"/>
      <c r="H18" t="str">
        <f t="shared" si="1"/>
        <v>SPECTR</v>
      </c>
      <c r="I18">
        <f t="shared" si="2"/>
        <v>-45</v>
      </c>
      <c r="J18">
        <f t="shared" si="0"/>
        <v>0</v>
      </c>
      <c r="K18" t="str">
        <f t="shared" si="3"/>
        <v>DIVIDE</v>
      </c>
      <c r="L18" s="5"/>
      <c r="M18"/>
      <c r="N18"/>
      <c r="O18"/>
      <c r="R18"/>
    </row>
    <row r="19" spans="1:18" x14ac:dyDescent="0.2">
      <c r="A19" s="5"/>
      <c r="B19"/>
      <c r="C19"/>
      <c r="D19"/>
      <c r="F19"/>
      <c r="G19"/>
      <c r="H19" t="str">
        <f t="shared" si="1"/>
        <v xml:space="preserve">ADOBE </v>
      </c>
      <c r="I19">
        <f t="shared" si="2"/>
        <v>-14.99</v>
      </c>
      <c r="J19">
        <f t="shared" si="0"/>
        <v>0</v>
      </c>
      <c r="K19" t="str">
        <f t="shared" si="3"/>
        <v>DOLLAR</v>
      </c>
      <c r="L19" s="5"/>
      <c r="M19"/>
      <c r="N19"/>
      <c r="O19"/>
      <c r="R19"/>
    </row>
    <row r="20" spans="1:18" x14ac:dyDescent="0.2">
      <c r="A20" s="5"/>
      <c r="H20" t="str">
        <f t="shared" si="1"/>
        <v/>
      </c>
      <c r="I20">
        <f t="shared" si="2"/>
        <v>0</v>
      </c>
      <c r="J20">
        <f t="shared" si="0"/>
        <v>0</v>
      </c>
      <c r="K20" t="str">
        <f t="shared" si="3"/>
        <v>RENO B</v>
      </c>
      <c r="L20" s="5"/>
      <c r="M20"/>
      <c r="N20"/>
      <c r="O20"/>
      <c r="Q20"/>
      <c r="R20"/>
    </row>
    <row r="21" spans="1:18" x14ac:dyDescent="0.2">
      <c r="A21" s="5"/>
      <c r="H21" t="str">
        <f t="shared" si="1"/>
        <v/>
      </c>
      <c r="I21">
        <f t="shared" si="2"/>
        <v>0</v>
      </c>
      <c r="J21">
        <f t="shared" si="0"/>
        <v>0</v>
      </c>
      <c r="K21" t="str">
        <f t="shared" si="3"/>
        <v>SPRING</v>
      </c>
      <c r="L21" s="5"/>
      <c r="M21"/>
      <c r="N21"/>
      <c r="O21"/>
      <c r="R21"/>
    </row>
    <row r="22" spans="1:18" x14ac:dyDescent="0.2">
      <c r="A22" s="5"/>
      <c r="H22" t="str">
        <f t="shared" si="1"/>
        <v/>
      </c>
      <c r="I22">
        <f t="shared" si="2"/>
        <v>0</v>
      </c>
      <c r="J22">
        <f t="shared" si="0"/>
        <v>0</v>
      </c>
      <c r="K22" t="str">
        <f t="shared" si="3"/>
        <v>BEST L</v>
      </c>
      <c r="L22" s="5"/>
      <c r="M22"/>
      <c r="N22"/>
      <c r="O22"/>
      <c r="Q22"/>
      <c r="R22"/>
    </row>
    <row r="23" spans="1:18" x14ac:dyDescent="0.2">
      <c r="A23" s="5"/>
      <c r="H23" t="str">
        <f t="shared" si="1"/>
        <v/>
      </c>
      <c r="I23">
        <f t="shared" si="2"/>
        <v>0</v>
      </c>
      <c r="J23">
        <f t="shared" si="0"/>
        <v>0</v>
      </c>
      <c r="K23" t="str">
        <f t="shared" si="3"/>
        <v>EPayme</v>
      </c>
      <c r="L23" s="3"/>
      <c r="M23"/>
      <c r="N23"/>
      <c r="O23"/>
      <c r="Q23"/>
      <c r="R23"/>
    </row>
    <row r="24" spans="1:18" x14ac:dyDescent="0.2">
      <c r="A24" s="5"/>
      <c r="H24" t="str">
        <f t="shared" si="1"/>
        <v/>
      </c>
      <c r="I24">
        <f t="shared" si="2"/>
        <v>0</v>
      </c>
      <c r="J24">
        <f t="shared" si="0"/>
        <v>0</v>
      </c>
      <c r="K24" t="str">
        <f t="shared" si="3"/>
        <v>HIGH D</v>
      </c>
      <c r="L24" s="3"/>
      <c r="M24"/>
      <c r="N24"/>
      <c r="O24"/>
      <c r="R24"/>
    </row>
    <row r="25" spans="1:18" x14ac:dyDescent="0.2">
      <c r="A25" s="5"/>
      <c r="H25" t="str">
        <f t="shared" si="1"/>
        <v/>
      </c>
      <c r="I25">
        <f t="shared" si="2"/>
        <v>0</v>
      </c>
      <c r="J25">
        <f t="shared" si="0"/>
        <v>0</v>
      </c>
      <c r="K25" t="str">
        <f t="shared" si="3"/>
        <v>NV ENE</v>
      </c>
      <c r="L25" s="5"/>
      <c r="M25"/>
      <c r="N25"/>
      <c r="O25"/>
      <c r="Q25"/>
      <c r="R25"/>
    </row>
    <row r="26" spans="1:18" x14ac:dyDescent="0.2">
      <c r="H26" t="str">
        <f t="shared" si="1"/>
        <v/>
      </c>
      <c r="I26">
        <f t="shared" si="2"/>
        <v>0</v>
      </c>
      <c r="J26">
        <f t="shared" si="0"/>
        <v>0</v>
      </c>
      <c r="K26" t="str">
        <f t="shared" si="3"/>
        <v>DOLLAR</v>
      </c>
      <c r="L26" s="5"/>
      <c r="M26"/>
      <c r="N26"/>
      <c r="O26"/>
      <c r="R26"/>
    </row>
    <row r="27" spans="1:18" x14ac:dyDescent="0.2">
      <c r="H27" t="str">
        <f t="shared" si="1"/>
        <v/>
      </c>
      <c r="I27">
        <f t="shared" si="2"/>
        <v>0</v>
      </c>
      <c r="J27">
        <f t="shared" si="0"/>
        <v>0</v>
      </c>
      <c r="K27" t="str">
        <f t="shared" si="3"/>
        <v>DOLLAR</v>
      </c>
      <c r="L27" s="5"/>
      <c r="M27"/>
      <c r="N27"/>
      <c r="O27"/>
      <c r="R27"/>
    </row>
    <row r="28" spans="1:18" x14ac:dyDescent="0.2">
      <c r="I28" t="e">
        <f t="shared" si="2"/>
        <v>#N/A</v>
      </c>
      <c r="J28">
        <f t="shared" si="0"/>
        <v>0</v>
      </c>
      <c r="K28" t="str">
        <f t="shared" si="3"/>
        <v>TMOBIL</v>
      </c>
      <c r="L28" s="5"/>
      <c r="M28"/>
      <c r="N28"/>
      <c r="O28"/>
      <c r="Q28"/>
      <c r="R28"/>
    </row>
    <row r="29" spans="1:18" x14ac:dyDescent="0.2">
      <c r="I29" t="e">
        <f t="shared" si="2"/>
        <v>#N/A</v>
      </c>
      <c r="J29">
        <f t="shared" si="0"/>
        <v>0</v>
      </c>
      <c r="K29" t="str">
        <f t="shared" si="3"/>
        <v>GOLDEN</v>
      </c>
      <c r="L29" s="5"/>
      <c r="M29"/>
      <c r="N29"/>
      <c r="O29"/>
      <c r="R29"/>
    </row>
    <row r="30" spans="1:18" x14ac:dyDescent="0.2">
      <c r="I30" t="e">
        <f t="shared" si="2"/>
        <v>#N/A</v>
      </c>
      <c r="J30">
        <f t="shared" si="0"/>
        <v>0</v>
      </c>
      <c r="K30" t="str">
        <f t="shared" si="3"/>
        <v>QUIK S</v>
      </c>
      <c r="L30" s="5"/>
      <c r="M30"/>
      <c r="N30"/>
      <c r="O30"/>
      <c r="R30"/>
    </row>
    <row r="31" spans="1:18" x14ac:dyDescent="0.2">
      <c r="I31" t="e">
        <f t="shared" si="2"/>
        <v>#N/A</v>
      </c>
      <c r="J31">
        <f t="shared" si="0"/>
        <v>0</v>
      </c>
      <c r="K31" t="str">
        <f t="shared" si="3"/>
        <v>SILVER</v>
      </c>
      <c r="L31" s="5"/>
      <c r="M31"/>
      <c r="N31"/>
      <c r="O31"/>
      <c r="R31"/>
    </row>
    <row r="32" spans="1:18" x14ac:dyDescent="0.2">
      <c r="I32" t="e">
        <f t="shared" si="2"/>
        <v>#N/A</v>
      </c>
      <c r="J32">
        <f t="shared" si="0"/>
        <v>0</v>
      </c>
      <c r="K32" t="str">
        <f t="shared" si="3"/>
        <v/>
      </c>
      <c r="L32" s="5"/>
    </row>
    <row r="33" spans="9:12" x14ac:dyDescent="0.2">
      <c r="I33" t="e">
        <f t="shared" si="2"/>
        <v>#N/A</v>
      </c>
      <c r="J33">
        <f t="shared" si="0"/>
        <v>0</v>
      </c>
      <c r="K33" t="str">
        <f t="shared" si="3"/>
        <v/>
      </c>
      <c r="L33" s="5"/>
    </row>
    <row r="34" spans="9:12" x14ac:dyDescent="0.2">
      <c r="I34" t="e">
        <f t="shared" si="2"/>
        <v>#N/A</v>
      </c>
      <c r="J34">
        <f t="shared" si="0"/>
        <v>0</v>
      </c>
      <c r="K34" t="str">
        <f t="shared" si="3"/>
        <v/>
      </c>
      <c r="L34" s="5"/>
    </row>
    <row r="35" spans="9:12" x14ac:dyDescent="0.2">
      <c r="I35" t="e">
        <f t="shared" si="2"/>
        <v>#N/A</v>
      </c>
      <c r="J35">
        <f t="shared" si="0"/>
        <v>0</v>
      </c>
      <c r="K35" t="str">
        <f t="shared" si="3"/>
        <v/>
      </c>
      <c r="L35" s="5"/>
    </row>
    <row r="36" spans="9:12" x14ac:dyDescent="0.2">
      <c r="I36" t="e">
        <f t="shared" si="2"/>
        <v>#N/A</v>
      </c>
      <c r="J36">
        <f t="shared" si="0"/>
        <v>0</v>
      </c>
      <c r="K36" t="str">
        <f t="shared" si="3"/>
        <v/>
      </c>
      <c r="L36" s="5"/>
    </row>
    <row r="37" spans="9:12" x14ac:dyDescent="0.2">
      <c r="I37" t="e">
        <f t="shared" si="2"/>
        <v>#N/A</v>
      </c>
      <c r="J37">
        <f t="shared" si="0"/>
        <v>0</v>
      </c>
      <c r="K37" t="str">
        <f t="shared" si="3"/>
        <v/>
      </c>
      <c r="L37" s="5"/>
    </row>
    <row r="38" spans="9:12" x14ac:dyDescent="0.2">
      <c r="I38" t="e">
        <f t="shared" si="2"/>
        <v>#N/A</v>
      </c>
      <c r="J38">
        <f t="shared" si="0"/>
        <v>0</v>
      </c>
      <c r="K38" t="str">
        <f t="shared" si="3"/>
        <v/>
      </c>
      <c r="L38" s="5"/>
    </row>
    <row r="39" spans="9:12" x14ac:dyDescent="0.2">
      <c r="I39" t="e">
        <f t="shared" si="2"/>
        <v>#N/A</v>
      </c>
      <c r="J39">
        <f t="shared" si="0"/>
        <v>0</v>
      </c>
      <c r="K39" t="str">
        <f t="shared" si="3"/>
        <v/>
      </c>
      <c r="L39" s="5"/>
    </row>
    <row r="40" spans="9:12" x14ac:dyDescent="0.2">
      <c r="I40" t="e">
        <f t="shared" si="2"/>
        <v>#N/A</v>
      </c>
      <c r="J40">
        <f t="shared" si="0"/>
        <v>0</v>
      </c>
      <c r="K40" t="str">
        <f t="shared" si="3"/>
        <v/>
      </c>
      <c r="L40" s="5"/>
    </row>
    <row r="41" spans="9:12" x14ac:dyDescent="0.2">
      <c r="I41" t="e">
        <f t="shared" si="2"/>
        <v>#N/A</v>
      </c>
      <c r="J41">
        <f t="shared" si="0"/>
        <v>0</v>
      </c>
      <c r="K41" t="str">
        <f t="shared" si="3"/>
        <v/>
      </c>
      <c r="L41" s="5"/>
    </row>
    <row r="42" spans="9:12" x14ac:dyDescent="0.2">
      <c r="I42" t="e">
        <f t="shared" si="2"/>
        <v>#N/A</v>
      </c>
      <c r="J42">
        <f t="shared" si="0"/>
        <v>0</v>
      </c>
      <c r="K42" t="str">
        <f t="shared" si="3"/>
        <v/>
      </c>
    </row>
    <row r="43" spans="9:12" x14ac:dyDescent="0.2">
      <c r="I43" t="e">
        <f t="shared" si="2"/>
        <v>#N/A</v>
      </c>
      <c r="J43">
        <f t="shared" si="0"/>
        <v>0</v>
      </c>
      <c r="K43" t="str">
        <f t="shared" si="3"/>
        <v/>
      </c>
    </row>
    <row r="44" spans="9:12" x14ac:dyDescent="0.2">
      <c r="I44" t="e">
        <f t="shared" si="2"/>
        <v>#N/A</v>
      </c>
      <c r="J44">
        <f t="shared" si="0"/>
        <v>0</v>
      </c>
      <c r="K44" t="str">
        <f t="shared" si="3"/>
        <v/>
      </c>
    </row>
    <row r="45" spans="9:12" x14ac:dyDescent="0.2">
      <c r="I45" t="e">
        <f t="shared" si="2"/>
        <v>#N/A</v>
      </c>
      <c r="J45">
        <f t="shared" si="0"/>
        <v>0</v>
      </c>
      <c r="K45" t="str">
        <f t="shared" si="3"/>
        <v/>
      </c>
    </row>
    <row r="46" spans="9:12" x14ac:dyDescent="0.2">
      <c r="I46" t="e">
        <f t="shared" si="2"/>
        <v>#N/A</v>
      </c>
      <c r="J46">
        <f t="shared" si="0"/>
        <v>0</v>
      </c>
      <c r="K46" t="str">
        <f t="shared" si="3"/>
        <v/>
      </c>
    </row>
    <row r="47" spans="9:12" x14ac:dyDescent="0.2">
      <c r="I47" t="e">
        <f t="shared" si="2"/>
        <v>#N/A</v>
      </c>
      <c r="J47">
        <f t="shared" si="0"/>
        <v>0</v>
      </c>
      <c r="K47" t="str">
        <f t="shared" si="3"/>
        <v/>
      </c>
    </row>
    <row r="48" spans="9:12" x14ac:dyDescent="0.2">
      <c r="I48" t="e">
        <f t="shared" si="2"/>
        <v>#N/A</v>
      </c>
      <c r="J48">
        <f t="shared" si="0"/>
        <v>0</v>
      </c>
      <c r="K48" t="str">
        <f t="shared" si="3"/>
        <v/>
      </c>
    </row>
    <row r="49" spans="2:11" x14ac:dyDescent="0.2">
      <c r="I49" t="e">
        <f t="shared" si="2"/>
        <v>#N/A</v>
      </c>
      <c r="J49">
        <f t="shared" si="0"/>
        <v>0</v>
      </c>
      <c r="K49" t="str">
        <f t="shared" si="3"/>
        <v/>
      </c>
    </row>
    <row r="50" spans="2:11" x14ac:dyDescent="0.2">
      <c r="I50" t="e">
        <f t="shared" si="2"/>
        <v>#N/A</v>
      </c>
      <c r="J50">
        <f t="shared" si="0"/>
        <v>0</v>
      </c>
      <c r="K50" t="str">
        <f t="shared" si="3"/>
        <v/>
      </c>
    </row>
    <row r="52" spans="2:11" x14ac:dyDescent="0.2">
      <c r="D52">
        <v>3282.01</v>
      </c>
      <c r="E52" t="s">
        <v>58</v>
      </c>
    </row>
    <row r="55" spans="2:11" x14ac:dyDescent="0.2">
      <c r="B55">
        <v>3293.71</v>
      </c>
      <c r="C55" t="s">
        <v>59</v>
      </c>
      <c r="D55">
        <f>D52-B57</f>
        <v>-124.71000000000004</v>
      </c>
      <c r="E55" t="s">
        <v>27</v>
      </c>
    </row>
    <row r="56" spans="2:11" x14ac:dyDescent="0.2">
      <c r="B56">
        <f>ABS(SUM(J2:J50))</f>
        <v>113.01000000000002</v>
      </c>
      <c r="C56" t="s">
        <v>60</v>
      </c>
      <c r="D56">
        <f>600-D55</f>
        <v>724.71</v>
      </c>
      <c r="E56" t="s">
        <v>23</v>
      </c>
    </row>
    <row r="57" spans="2:11" x14ac:dyDescent="0.2">
      <c r="B57">
        <f>SUM(B52:B56)</f>
        <v>3406.7200000000003</v>
      </c>
      <c r="C57" t="s">
        <v>61</v>
      </c>
    </row>
  </sheetData>
  <conditionalFormatting sqref="N1">
    <cfRule type="cellIs" dxfId="0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A630-15BD-1141-91E3-483EECB4D803}">
  <dimension ref="A2:L21"/>
  <sheetViews>
    <sheetView workbookViewId="0">
      <selection activeCell="B5" sqref="B5"/>
    </sheetView>
  </sheetViews>
  <sheetFormatPr baseColWidth="10" defaultRowHeight="16" x14ac:dyDescent="0.2"/>
  <cols>
    <col min="1" max="1" width="18" customWidth="1"/>
    <col min="5" max="5" width="16.5" customWidth="1"/>
    <col min="11" max="11" width="14" bestFit="1" customWidth="1"/>
  </cols>
  <sheetData>
    <row r="2" spans="1:12" x14ac:dyDescent="0.2">
      <c r="J2" t="s">
        <v>52</v>
      </c>
    </row>
    <row r="3" spans="1:12" x14ac:dyDescent="0.2">
      <c r="A3" t="s">
        <v>28</v>
      </c>
      <c r="B3" s="7">
        <v>28000</v>
      </c>
      <c r="C3" t="s">
        <v>40</v>
      </c>
      <c r="D3" t="s">
        <v>31</v>
      </c>
      <c r="F3" t="s">
        <v>30</v>
      </c>
      <c r="G3" t="s">
        <v>32</v>
      </c>
      <c r="H3" t="s">
        <v>44</v>
      </c>
      <c r="I3" t="s">
        <v>41</v>
      </c>
      <c r="J3" t="s">
        <v>54</v>
      </c>
      <c r="K3" t="s">
        <v>53</v>
      </c>
      <c r="L3" t="s">
        <v>46</v>
      </c>
    </row>
    <row r="4" spans="1:12" x14ac:dyDescent="0.2">
      <c r="A4" t="s">
        <v>29</v>
      </c>
      <c r="B4">
        <f>SUM(C4:D4)</f>
        <v>95890.116560000009</v>
      </c>
      <c r="C4">
        <v>500</v>
      </c>
      <c r="D4">
        <f>H4-H4*I4+G4-G4*I4</f>
        <v>95390.116560000009</v>
      </c>
      <c r="F4">
        <f>SUM(G4:H4)</f>
        <v>111099.6</v>
      </c>
      <c r="G4" s="7">
        <f>2378.3*12</f>
        <v>28539.600000000002</v>
      </c>
      <c r="H4" s="7">
        <f>43*40*48</f>
        <v>82560</v>
      </c>
      <c r="I4" s="7">
        <v>0.1414</v>
      </c>
    </row>
    <row r="5" spans="1:12" x14ac:dyDescent="0.2">
      <c r="A5" t="s">
        <v>34</v>
      </c>
      <c r="B5">
        <f>B4-B3</f>
        <v>67890.116560000009</v>
      </c>
    </row>
    <row r="6" spans="1:12" x14ac:dyDescent="0.2">
      <c r="A6" t="s">
        <v>39</v>
      </c>
      <c r="B6">
        <f>B3*C6/12</f>
        <v>25666.666666666668</v>
      </c>
      <c r="C6" s="7">
        <v>11</v>
      </c>
      <c r="D6" t="s">
        <v>55</v>
      </c>
      <c r="F6">
        <f>F4-17000</f>
        <v>94099.6</v>
      </c>
      <c r="G6" t="s">
        <v>47</v>
      </c>
    </row>
    <row r="7" spans="1:12" x14ac:dyDescent="0.2">
      <c r="A7" t="s">
        <v>33</v>
      </c>
      <c r="B7">
        <f>B5-B6</f>
        <v>42223.449893333338</v>
      </c>
      <c r="F7">
        <f>0.6*F6</f>
        <v>56459.76</v>
      </c>
      <c r="G7" t="s">
        <v>48</v>
      </c>
    </row>
    <row r="10" spans="1:12" x14ac:dyDescent="0.2">
      <c r="A10" t="s">
        <v>35</v>
      </c>
      <c r="B10">
        <f>SUM(B6:B7)</f>
        <v>67890.116560000009</v>
      </c>
    </row>
    <row r="13" spans="1:12" x14ac:dyDescent="0.2">
      <c r="E13" t="s">
        <v>36</v>
      </c>
      <c r="G13" t="s">
        <v>57</v>
      </c>
      <c r="I13" t="s">
        <v>43</v>
      </c>
    </row>
    <row r="14" spans="1:12" x14ac:dyDescent="0.2">
      <c r="E14" t="s">
        <v>42</v>
      </c>
      <c r="F14">
        <f>0.1*F4</f>
        <v>11109.960000000001</v>
      </c>
      <c r="G14">
        <f>F14/12</f>
        <v>925.83</v>
      </c>
      <c r="I14">
        <f>B7-F14</f>
        <v>31113.489893333339</v>
      </c>
    </row>
    <row r="15" spans="1:12" x14ac:dyDescent="0.2">
      <c r="E15" t="s">
        <v>37</v>
      </c>
      <c r="F15">
        <v>12276.46</v>
      </c>
      <c r="G15">
        <f>F15/12</f>
        <v>1023.0383333333333</v>
      </c>
    </row>
    <row r="16" spans="1:12" x14ac:dyDescent="0.2">
      <c r="E16" t="s">
        <v>38</v>
      </c>
      <c r="F16">
        <v>9000</v>
      </c>
      <c r="G16">
        <f>F16/12</f>
        <v>750</v>
      </c>
    </row>
    <row r="17" spans="1:7" x14ac:dyDescent="0.2">
      <c r="E17" t="s">
        <v>45</v>
      </c>
      <c r="F17">
        <f>I14-SUM(F15:F16)</f>
        <v>9837.0298933333397</v>
      </c>
      <c r="G17">
        <f>F17/12</f>
        <v>819.75249111111168</v>
      </c>
    </row>
    <row r="19" spans="1:7" x14ac:dyDescent="0.2">
      <c r="A19" t="s">
        <v>49</v>
      </c>
      <c r="B19">
        <f>B6/12</f>
        <v>2138.8888888888891</v>
      </c>
    </row>
    <row r="20" spans="1:7" x14ac:dyDescent="0.2">
      <c r="A20" t="s">
        <v>56</v>
      </c>
      <c r="B20">
        <f>B7/12</f>
        <v>3518.6208244444447</v>
      </c>
      <c r="E20" t="s">
        <v>50</v>
      </c>
      <c r="F20">
        <f>F15/12</f>
        <v>1023.0383333333333</v>
      </c>
    </row>
    <row r="21" spans="1:7" x14ac:dyDescent="0.2">
      <c r="E21" t="s">
        <v>51</v>
      </c>
      <c r="F21">
        <f>F16/12</f>
        <v>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CashFlow</vt:lpstr>
      <vt:lpstr>BudgetPie</vt:lpstr>
      <vt:lpstr>MandatoryCalcs</vt:lpstr>
      <vt:lpstr>FlatNeeds10MoSavings</vt:lpstr>
      <vt:lpstr>MandatoryCalcs!mandatory_2</vt:lpstr>
      <vt:lpstr>MandatoryCalcs!output</vt:lpstr>
      <vt:lpstr>CashFlow!output_4</vt:lpstr>
      <vt:lpstr>BudgetPie!pieChart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Byrne</dc:creator>
  <cp:lastModifiedBy>John Byrne</cp:lastModifiedBy>
  <dcterms:created xsi:type="dcterms:W3CDTF">2022-04-09T21:03:52Z</dcterms:created>
  <dcterms:modified xsi:type="dcterms:W3CDTF">2022-05-11T18:07:22Z</dcterms:modified>
</cp:coreProperties>
</file>