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queryTables/queryTable2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byrne/Dropbox/finance/"/>
    </mc:Choice>
  </mc:AlternateContent>
  <xr:revisionPtr revIDLastSave="0" documentId="8_{20F0F1F0-6120-D641-A846-CF68A752372A}" xr6:coauthVersionLast="47" xr6:coauthVersionMax="47" xr10:uidLastSave="{00000000-0000-0000-0000-000000000000}"/>
  <bookViews>
    <workbookView xWindow="2140" yWindow="1280" windowWidth="27240" windowHeight="16440" activeTab="1" xr2:uid="{535C330D-3385-BC47-B3AB-34923AEE4912}"/>
  </bookViews>
  <sheets>
    <sheet name="Sheet2" sheetId="2" r:id="rId1"/>
    <sheet name="Sheet1" sheetId="1" r:id="rId2"/>
  </sheets>
  <definedNames>
    <definedName name="_2022_04_10To22" localSheetId="0">Sheet2!$A$1:$G$14</definedName>
    <definedName name="_xlnm._FilterDatabase" localSheetId="1" hidden="1">Sheet1!$G$1:$G$27</definedName>
    <definedName name="March2022" localSheetId="1">Sheet1!$A$2:$G$15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S2" i="1" l="1"/>
  <c r="P8" i="1"/>
  <c r="T2" i="1"/>
  <c r="U2" i="1" s="1"/>
  <c r="P3" i="1"/>
  <c r="P4" i="1"/>
  <c r="P5" i="1"/>
  <c r="P6" i="1"/>
  <c r="P7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2" i="1"/>
  <c r="J15" i="1"/>
  <c r="K15" i="1"/>
  <c r="N15" i="1"/>
  <c r="O15" i="1"/>
  <c r="I15" i="1"/>
  <c r="W3" i="1"/>
  <c r="W4" i="1" s="1"/>
  <c r="W5" i="1" s="1"/>
  <c r="W6" i="1" s="1"/>
  <c r="W7" i="1" s="1"/>
  <c r="W8" i="1" s="1"/>
  <c r="W9" i="1" s="1"/>
  <c r="W10" i="1" s="1"/>
  <c r="W11" i="1" s="1"/>
  <c r="W12" i="1" s="1"/>
  <c r="W13" i="1" s="1"/>
  <c r="W14" i="1" s="1"/>
  <c r="W15" i="1" s="1"/>
  <c r="W16" i="1" s="1"/>
  <c r="W17" i="1" s="1"/>
  <c r="W18" i="1" s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U37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C16" i="1"/>
  <c r="T3" i="1" l="1"/>
  <c r="T4" i="1" s="1"/>
  <c r="T5" i="1" s="1"/>
  <c r="T6" i="1" s="1"/>
  <c r="T7" i="1" s="1"/>
  <c r="T8" i="1" s="1"/>
  <c r="T9" i="1" s="1"/>
  <c r="U5" i="1"/>
  <c r="U8" i="1"/>
  <c r="U7" i="1"/>
  <c r="U4" i="1"/>
  <c r="U3" i="1"/>
  <c r="H43" i="1"/>
  <c r="H44" i="1" s="1"/>
  <c r="H45" i="1" s="1"/>
  <c r="H46" i="1" s="1"/>
  <c r="H47" i="1" s="1"/>
  <c r="H48" i="1" s="1"/>
  <c r="O48" i="1"/>
  <c r="N48" i="1"/>
  <c r="K48" i="1"/>
  <c r="J48" i="1"/>
  <c r="I48" i="1"/>
  <c r="O47" i="1"/>
  <c r="N47" i="1"/>
  <c r="K47" i="1"/>
  <c r="J47" i="1"/>
  <c r="I47" i="1"/>
  <c r="O46" i="1"/>
  <c r="N46" i="1"/>
  <c r="K46" i="1"/>
  <c r="J46" i="1"/>
  <c r="I46" i="1"/>
  <c r="O45" i="1"/>
  <c r="N45" i="1"/>
  <c r="K45" i="1"/>
  <c r="J45" i="1"/>
  <c r="I45" i="1"/>
  <c r="O44" i="1"/>
  <c r="N44" i="1"/>
  <c r="K44" i="1"/>
  <c r="J44" i="1"/>
  <c r="I44" i="1"/>
  <c r="I3" i="1"/>
  <c r="J3" i="1"/>
  <c r="K3" i="1"/>
  <c r="N3" i="1"/>
  <c r="O3" i="1"/>
  <c r="I4" i="1"/>
  <c r="J4" i="1"/>
  <c r="K4" i="1"/>
  <c r="N4" i="1"/>
  <c r="O4" i="1"/>
  <c r="I5" i="1"/>
  <c r="J5" i="1"/>
  <c r="K5" i="1"/>
  <c r="N5" i="1"/>
  <c r="O5" i="1"/>
  <c r="I6" i="1"/>
  <c r="J6" i="1"/>
  <c r="K6" i="1"/>
  <c r="N6" i="1"/>
  <c r="O6" i="1"/>
  <c r="I7" i="1"/>
  <c r="J7" i="1"/>
  <c r="K7" i="1"/>
  <c r="N7" i="1"/>
  <c r="O7" i="1"/>
  <c r="I8" i="1"/>
  <c r="J8" i="1"/>
  <c r="K8" i="1"/>
  <c r="N8" i="1"/>
  <c r="O8" i="1"/>
  <c r="I9" i="1"/>
  <c r="J9" i="1"/>
  <c r="K9" i="1"/>
  <c r="N9" i="1"/>
  <c r="O9" i="1"/>
  <c r="I10" i="1"/>
  <c r="J10" i="1"/>
  <c r="K10" i="1"/>
  <c r="N10" i="1"/>
  <c r="O10" i="1"/>
  <c r="I11" i="1"/>
  <c r="J11" i="1"/>
  <c r="K11" i="1"/>
  <c r="N11" i="1"/>
  <c r="O11" i="1"/>
  <c r="I12" i="1"/>
  <c r="J12" i="1"/>
  <c r="K12" i="1"/>
  <c r="N12" i="1"/>
  <c r="O12" i="1"/>
  <c r="I13" i="1"/>
  <c r="J13" i="1"/>
  <c r="K13" i="1"/>
  <c r="N13" i="1"/>
  <c r="O13" i="1"/>
  <c r="I14" i="1"/>
  <c r="J14" i="1"/>
  <c r="K14" i="1"/>
  <c r="N14" i="1"/>
  <c r="O14" i="1"/>
  <c r="O2" i="1"/>
  <c r="N2" i="1"/>
  <c r="K2" i="1"/>
  <c r="J2" i="1"/>
  <c r="I2" i="1"/>
  <c r="I37" i="1" l="1"/>
  <c r="U6" i="1"/>
  <c r="T10" i="1"/>
  <c r="U9" i="1"/>
  <c r="O37" i="1"/>
  <c r="T11" i="1" l="1"/>
  <c r="U10" i="1"/>
  <c r="T12" i="1" l="1"/>
  <c r="U11" i="1"/>
  <c r="T13" i="1" l="1"/>
  <c r="U12" i="1"/>
  <c r="T14" i="1" l="1"/>
  <c r="U13" i="1"/>
  <c r="T15" i="1" l="1"/>
  <c r="U14" i="1"/>
  <c r="T16" i="1" l="1"/>
  <c r="U15" i="1"/>
  <c r="T17" i="1" l="1"/>
  <c r="U16" i="1"/>
  <c r="T18" i="1" l="1"/>
  <c r="U17" i="1"/>
  <c r="T19" i="1" l="1"/>
  <c r="U18" i="1"/>
  <c r="T20" i="1" l="1"/>
  <c r="U19" i="1"/>
  <c r="T21" i="1" l="1"/>
  <c r="U20" i="1"/>
  <c r="T22" i="1" l="1"/>
  <c r="U21" i="1"/>
  <c r="T23" i="1" l="1"/>
  <c r="U22" i="1"/>
  <c r="T24" i="1" l="1"/>
  <c r="U23" i="1"/>
  <c r="T25" i="1" l="1"/>
  <c r="U24" i="1"/>
  <c r="T26" i="1" l="1"/>
  <c r="U25" i="1"/>
  <c r="T27" i="1" l="1"/>
  <c r="U26" i="1"/>
  <c r="T28" i="1" l="1"/>
  <c r="U27" i="1"/>
  <c r="T29" i="1" l="1"/>
  <c r="U28" i="1"/>
  <c r="T30" i="1" l="1"/>
  <c r="U29" i="1"/>
  <c r="T31" i="1" l="1"/>
  <c r="U30" i="1"/>
  <c r="T32" i="1" l="1"/>
  <c r="U31" i="1"/>
  <c r="T33" i="1" l="1"/>
  <c r="U32" i="1"/>
  <c r="T34" i="1" l="1"/>
  <c r="U33" i="1"/>
  <c r="T35" i="1" l="1"/>
  <c r="U34" i="1"/>
  <c r="T36" i="1" l="1"/>
  <c r="U36" i="1" s="1"/>
  <c r="U3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D553DF0-6420-4B4D-89B5-D2ED5DE763EB}" name="2022_04_10To22" type="6" refreshedVersion="7" background="1" saveData="1">
    <textPr sourceFile="/Users/jbyrne/Dropbox/finance/Gcsvs_202204221335/2022_04_10To22.csv" delimiter="|">
      <textFields count="7">
        <textField type="YMD"/>
        <textField/>
        <textField/>
        <textField/>
        <textField/>
        <textField/>
        <textField/>
      </textFields>
    </textPr>
  </connection>
  <connection id="2" xr16:uid="{BC6E975F-7F76-174F-BBD0-709DF76B3B27}" name="March2022" type="6" refreshedVersion="7" background="1" saveData="1">
    <textPr sourceFile="/Users/jbyrne/Dropbox/finance/Gcsvs_202204221335/2022_04_10To22.csv" delimiter="|">
      <textFields count="7"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<sst xmlns="http://schemas.openxmlformats.org/spreadsheetml/2006/main" count="118" uniqueCount="51">
  <si>
    <t>TX date</t>
  </si>
  <si>
    <t>description</t>
  </si>
  <si>
    <t>amount</t>
  </si>
  <si>
    <t>category</t>
  </si>
  <si>
    <t>xcldfromcshflow</t>
  </si>
  <si>
    <t>Mandatory</t>
  </si>
  <si>
    <t>source</t>
  </si>
  <si>
    <t>balance</t>
  </si>
  <si>
    <t>Mand amount</t>
  </si>
  <si>
    <t>StarOneTXs</t>
  </si>
  <si>
    <t>cc Txs</t>
  </si>
  <si>
    <t>Notes</t>
  </si>
  <si>
    <t>xcludeFromGraph</t>
  </si>
  <si>
    <t>Not Mand</t>
  </si>
  <si>
    <t>VisaChaseTXs</t>
  </si>
  <si>
    <t>Doctor/Hospital</t>
  </si>
  <si>
    <t>M</t>
  </si>
  <si>
    <t>CheckingStarOneTXs</t>
  </si>
  <si>
    <t>Internet Service</t>
  </si>
  <si>
    <t>AutoInsurance</t>
  </si>
  <si>
    <t>VSP 800-785-0699</t>
  </si>
  <si>
    <t>Medical/Dental/Vision Insurance</t>
  </si>
  <si>
    <t>Prophecy</t>
  </si>
  <si>
    <t>Everything up to the 15th</t>
  </si>
  <si>
    <t>Amount</t>
  </si>
  <si>
    <t>Date</t>
  </si>
  <si>
    <t>Cumulative Amount Spent</t>
  </si>
  <si>
    <t>Day Number</t>
  </si>
  <si>
    <t>Cumulative Amount Spent +</t>
  </si>
  <si>
    <t>SILVER STAGE PHARMACY</t>
  </si>
  <si>
    <t>MSFT * E0600IBAXH</t>
  </si>
  <si>
    <t>Payment Thank You - Web</t>
  </si>
  <si>
    <t>Chase CC Payment</t>
  </si>
  <si>
    <t>y</t>
  </si>
  <si>
    <t>CHASE CREDIT CRDEPAY      220412</t>
  </si>
  <si>
    <t>Payment</t>
  </si>
  <si>
    <t>FERNLEY PHYSICAL THERAPY</t>
  </si>
  <si>
    <t>Health &amp; Wellness</t>
  </si>
  <si>
    <t>Dropbox TQBP3H8CPCSH</t>
  </si>
  <si>
    <t>eBay            PAYOUT</t>
  </si>
  <si>
    <t>GEICO           PREM COLL 220414</t>
  </si>
  <si>
    <t>Online 04/15/2022 10:04:45 MEMO: Camera Payout from sale Ref# 7B</t>
  </si>
  <si>
    <t>24 SEVEN</t>
  </si>
  <si>
    <t>Gas</t>
  </si>
  <si>
    <t>DESERT VALLEY DENTAL</t>
  </si>
  <si>
    <t>HIGH DESERT AUTO</t>
  </si>
  <si>
    <t>Automotive</t>
  </si>
  <si>
    <t>SSA  TREAS 310  XXSOC SEC 042722</t>
  </si>
  <si>
    <t>Income</t>
  </si>
  <si>
    <t>Cash Flow Max</t>
  </si>
  <si>
    <t>expenses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</si>
</sst>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yyyy\-mm\-dd;@"/>
  </numFmts>
  <fonts count="2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49" fontId="0" fillId="0" borderId="0" xfId="0" applyNumberFormat="1"/>
    <xf numFmtId="165" fontId="0" fillId="0" borderId="0" xfId="0" applyNumberFormat="1"/>
    <xf numFmtId="2" fontId="0" fillId="0" borderId="0" xfId="0" applyNumberFormat="1"/>
    <xf numFmtId="22" fontId="0" fillId="0" borderId="0" xfId="0" applyNumberFormat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Spending</a:t>
            </a:r>
            <a:r>
              <a:rPr lang="en-US" baseline="0"/>
              <a:t> Speed Line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Sheet1!$T$1</c:f>
              <c:strCache>
                <c:ptCount val="1"/>
                <c:pt idx="0">
                  <c:v>Cumulative Amount Spent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val>
            <c:numRef>
              <c:f>Sheet1!$U$2:$U$36</c:f>
              <c:numCache>
                <c:formatCode>General</c:formatCode>
                <c:ptCount val="35"/>
                <c:pt idx="0">
                  <c:v>47</c:v>
                </c:pt>
                <c:pt idx="1">
                  <c:v>59.5</c:v>
                </c:pt>
                <c:pt idx="2">
                  <c:v>59.5</c:v>
                </c:pt>
                <c:pt idx="3">
                  <c:v>59.5</c:v>
                </c:pt>
                <c:pt idx="4">
                  <c:v>99.5</c:v>
                </c:pt>
                <c:pt idx="5">
                  <c:v>111.49</c:v>
                </c:pt>
                <c:pt idx="6">
                  <c:v>1904.19</c:v>
                </c:pt>
                <c:pt idx="7">
                  <c:v>1829.51</c:v>
                </c:pt>
                <c:pt idx="8">
                  <c:v>186.17000000000007</c:v>
                </c:pt>
                <c:pt idx="9">
                  <c:v>200.01000000000008</c:v>
                </c:pt>
                <c:pt idx="10">
                  <c:v>202.80000000000007</c:v>
                </c:pt>
                <c:pt idx="11">
                  <c:v>334.16000000000008</c:v>
                </c:pt>
                <c:pt idx="12">
                  <c:v>394.87000000000006</c:v>
                </c:pt>
                <c:pt idx="13">
                  <c:v>394.87000000000006</c:v>
                </c:pt>
                <c:pt idx="14">
                  <c:v>394.87000000000006</c:v>
                </c:pt>
                <c:pt idx="15">
                  <c:v>394.87000000000006</c:v>
                </c:pt>
                <c:pt idx="16">
                  <c:v>394.87000000000006</c:v>
                </c:pt>
                <c:pt idx="17">
                  <c:v>394.87000000000006</c:v>
                </c:pt>
                <c:pt idx="18">
                  <c:v>394.87000000000006</c:v>
                </c:pt>
                <c:pt idx="19">
                  <c:v>394.87000000000006</c:v>
                </c:pt>
                <c:pt idx="20">
                  <c:v>394.87000000000006</c:v>
                </c:pt>
                <c:pt idx="21">
                  <c:v>394.87000000000006</c:v>
                </c:pt>
                <c:pt idx="22">
                  <c:v>394.87000000000006</c:v>
                </c:pt>
                <c:pt idx="23">
                  <c:v>394.87000000000006</c:v>
                </c:pt>
                <c:pt idx="24">
                  <c:v>394.87000000000006</c:v>
                </c:pt>
                <c:pt idx="25">
                  <c:v>394.87000000000006</c:v>
                </c:pt>
                <c:pt idx="26">
                  <c:v>394.87000000000006</c:v>
                </c:pt>
                <c:pt idx="27">
                  <c:v>394.87000000000006</c:v>
                </c:pt>
                <c:pt idx="28">
                  <c:v>394.87000000000006</c:v>
                </c:pt>
                <c:pt idx="29">
                  <c:v>394.87000000000006</c:v>
                </c:pt>
                <c:pt idx="30">
                  <c:v>394.87000000000006</c:v>
                </c:pt>
                <c:pt idx="31">
                  <c:v>394.87000000000006</c:v>
                </c:pt>
                <c:pt idx="32">
                  <c:v>394.87000000000006</c:v>
                </c:pt>
                <c:pt idx="33">
                  <c:v>394.87000000000006</c:v>
                </c:pt>
                <c:pt idx="34">
                  <c:v>394.87000000000006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88-BE45-B6FA-7758C530DCB6}"/>
            </c:ext>
          </c:extLst>
        </c:ser>
        <c:ser>
          <c:idx val="1"/>
          <c:order val="1"/>
          <c:tx>
            <c:v>Date Spent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Sheet1!$S$2:$S$36</c:f>
              <c:numCache>
                <c:formatCode>0.00</c:formatCode>
                <c:ptCount val="35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4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7</c:v>
                </c:pt>
                <c:pt idx="11">
                  <c:v>8</c:v>
                </c:pt>
                <c:pt idx="12">
                  <c:v>9</c:v>
                </c:pt>
                <c:pt idx="13">
                  <c:v>12</c:v>
                </c:pt>
                <c:pt idx="14">
                  <c:v>-20</c:v>
                </c:pt>
                <c:pt idx="15">
                  <c:v>-20</c:v>
                </c:pt>
                <c:pt idx="16">
                  <c:v>-19</c:v>
                </c:pt>
                <c:pt idx="17">
                  <c:v>-19</c:v>
                </c:pt>
                <c:pt idx="18">
                  <c:v>-18</c:v>
                </c:pt>
                <c:pt idx="19">
                  <c:v>-14</c:v>
                </c:pt>
                <c:pt idx="20">
                  <c:v>-13</c:v>
                </c:pt>
                <c:pt idx="21">
                  <c:v>-12</c:v>
                </c:pt>
                <c:pt idx="22">
                  <c:v>-12</c:v>
                </c:pt>
                <c:pt idx="23">
                  <c:v>-12</c:v>
                </c:pt>
                <c:pt idx="24">
                  <c:v>-10</c:v>
                </c:pt>
                <c:pt idx="25">
                  <c:v>-10</c:v>
                </c:pt>
                <c:pt idx="26">
                  <c:v>-9</c:v>
                </c:pt>
                <c:pt idx="27">
                  <c:v>-9</c:v>
                </c:pt>
                <c:pt idx="28">
                  <c:v>-9</c:v>
                </c:pt>
                <c:pt idx="29">
                  <c:v>-9</c:v>
                </c:pt>
                <c:pt idx="30">
                  <c:v>-9</c:v>
                </c:pt>
                <c:pt idx="31">
                  <c:v>-7</c:v>
                </c:pt>
                <c:pt idx="32">
                  <c:v>-6</c:v>
                </c:pt>
                <c:pt idx="33">
                  <c:v>-5</c:v>
                </c:pt>
                <c:pt idx="34">
                  <c:v>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88-BE45-B6FA-7758C530DC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712463"/>
        <c:axId val="505713183"/>
      </c:areaChart>
      <c:barChart>
        <c:barDir val="col"/>
        <c:grouping val="clustered"/>
        <c:varyColors val="0"/>
        <c:ser>
          <c:idx val="2"/>
          <c:order val="2"/>
          <c:tx>
            <c:strRef>
              <c:f>Sheet1!$V$1</c:f>
              <c:strCache>
                <c:ptCount val="1"/>
                <c:pt idx="0">
                  <c:v>Date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Sheet1!$V$2:$V$32</c:f>
              <c:numCache>
                <c:formatCode>0.00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988-BE45-B6FA-7758C530DCB6}"/>
            </c:ext>
          </c:extLst>
        </c:ser>
        <c:ser>
          <c:idx val="3"/>
          <c:order val="3"/>
          <c:tx>
            <c:strRef>
              <c:f>Sheet1!$W$1</c:f>
              <c:strCache>
                <c:ptCount val="1"/>
                <c:pt idx="0">
                  <c:v>Amount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Sheet1!$W$2:$W$33</c:f>
              <c:numCache>
                <c:formatCode>General</c:formatCode>
                <c:ptCount val="32"/>
                <c:pt idx="0">
                  <c:v>0</c:v>
                </c:pt>
                <c:pt idx="1">
                  <c:v>41.935483870967744</c:v>
                </c:pt>
                <c:pt idx="2">
                  <c:v>83.870967741935488</c:v>
                </c:pt>
                <c:pt idx="3">
                  <c:v>125.80645161290323</c:v>
                </c:pt>
                <c:pt idx="4">
                  <c:v>167.74193548387098</c:v>
                </c:pt>
                <c:pt idx="5">
                  <c:v>209.67741935483872</c:v>
                </c:pt>
                <c:pt idx="6">
                  <c:v>251.61290322580646</c:v>
                </c:pt>
                <c:pt idx="7">
                  <c:v>293.54838709677421</c:v>
                </c:pt>
                <c:pt idx="8">
                  <c:v>335.48387096774195</c:v>
                </c:pt>
                <c:pt idx="9">
                  <c:v>377.41935483870969</c:v>
                </c:pt>
                <c:pt idx="10">
                  <c:v>419.35483870967744</c:v>
                </c:pt>
                <c:pt idx="11">
                  <c:v>461.29032258064518</c:v>
                </c:pt>
                <c:pt idx="12">
                  <c:v>503.22580645161293</c:v>
                </c:pt>
                <c:pt idx="13">
                  <c:v>545.16129032258073</c:v>
                </c:pt>
                <c:pt idx="14">
                  <c:v>587.09677419354853</c:v>
                </c:pt>
                <c:pt idx="15">
                  <c:v>629.03225806451633</c:v>
                </c:pt>
                <c:pt idx="16">
                  <c:v>670.96774193548413</c:v>
                </c:pt>
                <c:pt idx="17">
                  <c:v>712.90322580645193</c:v>
                </c:pt>
                <c:pt idx="18">
                  <c:v>754.83870967741973</c:v>
                </c:pt>
                <c:pt idx="19">
                  <c:v>796.77419354838753</c:v>
                </c:pt>
                <c:pt idx="20">
                  <c:v>838.70967741935533</c:v>
                </c:pt>
                <c:pt idx="21">
                  <c:v>880.64516129032313</c:v>
                </c:pt>
                <c:pt idx="22">
                  <c:v>922.58064516129093</c:v>
                </c:pt>
                <c:pt idx="23">
                  <c:v>964.51612903225873</c:v>
                </c:pt>
                <c:pt idx="24">
                  <c:v>1006.4516129032265</c:v>
                </c:pt>
                <c:pt idx="25">
                  <c:v>1048.3870967741943</c:v>
                </c:pt>
                <c:pt idx="26">
                  <c:v>1090.3225806451621</c:v>
                </c:pt>
                <c:pt idx="27">
                  <c:v>1132.2580645161299</c:v>
                </c:pt>
                <c:pt idx="28">
                  <c:v>1174.1935483870977</c:v>
                </c:pt>
                <c:pt idx="29">
                  <c:v>1216.1290322580655</c:v>
                </c:pt>
                <c:pt idx="30">
                  <c:v>1258.0645161290333</c:v>
                </c:pt>
                <c:pt idx="31">
                  <c:v>1300.0000000000011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988-BE45-B6FA-7758C530DC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5712463"/>
        <c:axId val="505713183"/>
      </c:barChart>
      <c:catAx>
        <c:axId val="50571246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713183"/>
        <c:crosses val="autoZero"/>
        <c:auto val="1"/>
        <c:lblAlgn val="ctr"/>
        <c:lblOffset val="100"/>
        <c:noMultiLvlLbl val="0"/>
      </c:catAx>
      <c:valAx>
        <c:axId val="505713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7124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Sheet1!$W$1</c:f>
              <c:strCache>
                <c:ptCount val="1"/>
                <c:pt idx="0">
                  <c:v>Amount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Sheet1!$V$2:$V$32</c:f>
              <c:numCache>
                <c:formatCode>0.00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Sheet1!$W$2:$W$33</c:f>
              <c:numCache>
                <c:formatCode>General</c:formatCode>
                <c:ptCount val="32"/>
                <c:pt idx="0">
                  <c:v>0</c:v>
                </c:pt>
                <c:pt idx="1">
                  <c:v>41.935483870967744</c:v>
                </c:pt>
                <c:pt idx="2">
                  <c:v>83.870967741935488</c:v>
                </c:pt>
                <c:pt idx="3">
                  <c:v>125.80645161290323</c:v>
                </c:pt>
                <c:pt idx="4">
                  <c:v>167.74193548387098</c:v>
                </c:pt>
                <c:pt idx="5">
                  <c:v>209.67741935483872</c:v>
                </c:pt>
                <c:pt idx="6">
                  <c:v>251.61290322580646</c:v>
                </c:pt>
                <c:pt idx="7">
                  <c:v>293.54838709677421</c:v>
                </c:pt>
                <c:pt idx="8">
                  <c:v>335.48387096774195</c:v>
                </c:pt>
                <c:pt idx="9">
                  <c:v>377.41935483870969</c:v>
                </c:pt>
                <c:pt idx="10">
                  <c:v>419.35483870967744</c:v>
                </c:pt>
                <c:pt idx="11">
                  <c:v>461.29032258064518</c:v>
                </c:pt>
                <c:pt idx="12">
                  <c:v>503.22580645161293</c:v>
                </c:pt>
                <c:pt idx="13">
                  <c:v>545.16129032258073</c:v>
                </c:pt>
                <c:pt idx="14">
                  <c:v>587.09677419354853</c:v>
                </c:pt>
                <c:pt idx="15">
                  <c:v>629.03225806451633</c:v>
                </c:pt>
                <c:pt idx="16">
                  <c:v>670.96774193548413</c:v>
                </c:pt>
                <c:pt idx="17">
                  <c:v>712.90322580645193</c:v>
                </c:pt>
                <c:pt idx="18">
                  <c:v>754.83870967741973</c:v>
                </c:pt>
                <c:pt idx="19">
                  <c:v>796.77419354838753</c:v>
                </c:pt>
                <c:pt idx="20">
                  <c:v>838.70967741935533</c:v>
                </c:pt>
                <c:pt idx="21">
                  <c:v>880.64516129032313</c:v>
                </c:pt>
                <c:pt idx="22">
                  <c:v>922.58064516129093</c:v>
                </c:pt>
                <c:pt idx="23">
                  <c:v>964.51612903225873</c:v>
                </c:pt>
                <c:pt idx="24">
                  <c:v>1006.4516129032265</c:v>
                </c:pt>
                <c:pt idx="25">
                  <c:v>1048.3870967741943</c:v>
                </c:pt>
                <c:pt idx="26">
                  <c:v>1090.3225806451621</c:v>
                </c:pt>
                <c:pt idx="27">
                  <c:v>1132.2580645161299</c:v>
                </c:pt>
                <c:pt idx="28">
                  <c:v>1174.1935483870977</c:v>
                </c:pt>
                <c:pt idx="29">
                  <c:v>1216.1290322580655</c:v>
                </c:pt>
                <c:pt idx="30">
                  <c:v>1258.0645161290333</c:v>
                </c:pt>
                <c:pt idx="31">
                  <c:v>1300.0000000000011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81-2A42-AF13-C2DE4F0DC53C}"/>
            </c:ext>
          </c:extLst>
        </c:ser>
        <c:ser>
          <c:idx val="1"/>
          <c:order val="1"/>
          <c:tx>
            <c:v>Cumulative Amount Spent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Sheet1!$S$2:$S$15</c:f>
              <c:numCache>
                <c:formatCode>0.00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4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7</c:v>
                </c:pt>
                <c:pt idx="11">
                  <c:v>8</c:v>
                </c:pt>
                <c:pt idx="12">
                  <c:v>9</c:v>
                </c:pt>
                <c:pt idx="13">
                  <c:v>12</c:v>
                </c:pt>
              </c:numCache>
            </c:numRef>
          </c:cat>
          <c:val>
            <c:numRef>
              <c:f>Sheet1!$U$2:$U$15</c:f>
              <c:numCache>
                <c:formatCode>General</c:formatCode>
                <c:ptCount val="14"/>
                <c:pt idx="0">
                  <c:v>47</c:v>
                </c:pt>
                <c:pt idx="1">
                  <c:v>59.5</c:v>
                </c:pt>
                <c:pt idx="2">
                  <c:v>59.5</c:v>
                </c:pt>
                <c:pt idx="3">
                  <c:v>59.5</c:v>
                </c:pt>
                <c:pt idx="4">
                  <c:v>99.5</c:v>
                </c:pt>
                <c:pt idx="5">
                  <c:v>111.49</c:v>
                </c:pt>
                <c:pt idx="6">
                  <c:v>1904.19</c:v>
                </c:pt>
                <c:pt idx="7">
                  <c:v>1829.51</c:v>
                </c:pt>
                <c:pt idx="8">
                  <c:v>186.17000000000007</c:v>
                </c:pt>
                <c:pt idx="9">
                  <c:v>200.01000000000008</c:v>
                </c:pt>
                <c:pt idx="10">
                  <c:v>202.80000000000007</c:v>
                </c:pt>
                <c:pt idx="11">
                  <c:v>334.16000000000008</c:v>
                </c:pt>
                <c:pt idx="12">
                  <c:v>394.87000000000006</c:v>
                </c:pt>
                <c:pt idx="13">
                  <c:v>394.87000000000006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81-2A42-AF13-C2DE4F0D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3436799"/>
        <c:axId val="593438447"/>
      </c:lineChart>
      <c:catAx>
        <c:axId val="5934367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438447"/>
        <c:crosses val="autoZero"/>
        <c:auto val="1"/>
        <c:lblAlgn val="ctr"/>
        <c:lblOffset val="100"/>
        <c:noMultiLvlLbl val="0"/>
      </c:catAx>
      <c:valAx>
        <c:axId val="593438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4367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412750</xdr:colOff>
      <xdr:row>39</xdr:row>
      <xdr:rowOff>76206</xdr:rowOff>
    </xdr:from>
    <xdr:to>
      <xdr:col>20</xdr:col>
      <xdr:colOff>755650</xdr:colOff>
      <xdr:row>52</xdr:row>
      <xdr:rowOff>177806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F7D9828-35A1-A94B-859F-3061ACD058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3429000</xdr:colOff>
      <xdr:row>7</xdr:row>
      <xdr:rowOff>101600</xdr:rowOff>
    </xdr:from>
    <xdr:to>
      <xdr:col>13</xdr:col>
      <xdr:colOff>609600</xdr:colOff>
      <xdr:row>39</xdr:row>
      <xdr:rowOff>139700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64C5D675-B707-6AF8-F0F5-DBA449E8E1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022_04_10To22" connectionId="1" xr16:uid="{CE33AEEC-8FC4-6741-834C-3D2057FD10B4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arch2022" connectionId="2" xr16:uid="{6372C916-48BA-3D4B-8472-3B4FFDE29382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01D31-FED8-8844-8C48-86CF4BE51FA2}">
  <dimension ref="A1:G14"/>
  <sheetViews>
    <sheetView workbookViewId="0">
      <selection activeCell="G14" sqref="A1:G14"/>
    </sheetView>
  </sheetViews>
  <sheetFormatPr baseColWidth="10" defaultRowHeight="16" x14ac:dyDescent="0.2"/>
  <cols>
    <col min="1" max="1" width="11.83203125" bestFit="1" customWidth="1"/>
    <col min="2" max="2" width="60.5" bestFit="1" customWidth="1"/>
    <col min="3" max="3" width="8.83203125" bestFit="1" customWidth="1"/>
    <col min="4" max="4" width="28.5" bestFit="1" customWidth="1"/>
    <col min="5" max="5" width="2" bestFit="1" customWidth="1"/>
    <col min="6" max="6" width="2.83203125" bestFit="1" customWidth="1"/>
    <col min="7" max="7" width="18" bestFit="1" customWidth="1"/>
  </cols>
  <sheetData>
    <row r="1" spans="1:7" x14ac:dyDescent="0.2">
      <c r="A1" s="5">
        <v>44662</v>
      </c>
      <c r="B1" t="s">
        <v>29</v>
      </c>
      <c r="C1">
        <v>-47</v>
      </c>
      <c r="D1" t="s">
        <v>15</v>
      </c>
      <c r="G1" t="s">
        <v>14</v>
      </c>
    </row>
    <row r="2" spans="1:7" x14ac:dyDescent="0.2">
      <c r="A2" s="5">
        <v>44663</v>
      </c>
      <c r="B2" t="s">
        <v>30</v>
      </c>
      <c r="C2">
        <v>-12.5</v>
      </c>
      <c r="D2" t="s">
        <v>18</v>
      </c>
      <c r="F2" t="s">
        <v>16</v>
      </c>
      <c r="G2" t="s">
        <v>14</v>
      </c>
    </row>
    <row r="3" spans="1:7" x14ac:dyDescent="0.2">
      <c r="A3" s="5">
        <v>44663</v>
      </c>
      <c r="B3" t="s">
        <v>31</v>
      </c>
      <c r="C3">
        <v>560.05999999999995</v>
      </c>
      <c r="D3" t="s">
        <v>32</v>
      </c>
      <c r="E3" t="s">
        <v>33</v>
      </c>
      <c r="G3" t="s">
        <v>14</v>
      </c>
    </row>
    <row r="4" spans="1:7" x14ac:dyDescent="0.2">
      <c r="A4" s="5">
        <v>44664</v>
      </c>
      <c r="B4" t="s">
        <v>34</v>
      </c>
      <c r="C4">
        <v>-560.05999999999995</v>
      </c>
      <c r="D4" t="s">
        <v>35</v>
      </c>
      <c r="E4" t="s">
        <v>33</v>
      </c>
      <c r="G4" t="s">
        <v>17</v>
      </c>
    </row>
    <row r="5" spans="1:7" x14ac:dyDescent="0.2">
      <c r="A5" s="5">
        <v>44664</v>
      </c>
      <c r="B5" t="s">
        <v>36</v>
      </c>
      <c r="C5">
        <v>-40</v>
      </c>
      <c r="D5" t="s">
        <v>37</v>
      </c>
      <c r="G5" t="s">
        <v>14</v>
      </c>
    </row>
    <row r="6" spans="1:7" x14ac:dyDescent="0.2">
      <c r="A6" s="5">
        <v>44665</v>
      </c>
      <c r="B6" t="s">
        <v>38</v>
      </c>
      <c r="C6">
        <v>-11.99</v>
      </c>
      <c r="D6" t="s">
        <v>18</v>
      </c>
      <c r="F6" t="s">
        <v>16</v>
      </c>
      <c r="G6" t="s">
        <v>14</v>
      </c>
    </row>
    <row r="7" spans="1:7" x14ac:dyDescent="0.2">
      <c r="A7" s="5">
        <v>44665</v>
      </c>
      <c r="B7" t="s">
        <v>39</v>
      </c>
      <c r="C7">
        <v>2015.68</v>
      </c>
      <c r="G7" t="s">
        <v>17</v>
      </c>
    </row>
    <row r="8" spans="1:7" x14ac:dyDescent="0.2">
      <c r="A8" s="5">
        <v>44666</v>
      </c>
      <c r="B8" t="s">
        <v>40</v>
      </c>
      <c r="C8">
        <v>-74.680000000000007</v>
      </c>
      <c r="D8" t="s">
        <v>19</v>
      </c>
      <c r="F8" t="s">
        <v>16</v>
      </c>
      <c r="G8" t="s">
        <v>17</v>
      </c>
    </row>
    <row r="9" spans="1:7" x14ac:dyDescent="0.2">
      <c r="A9" s="5">
        <v>44666</v>
      </c>
      <c r="B9" t="s">
        <v>41</v>
      </c>
      <c r="C9">
        <v>-2015.68</v>
      </c>
      <c r="G9" t="s">
        <v>17</v>
      </c>
    </row>
    <row r="10" spans="1:7" x14ac:dyDescent="0.2">
      <c r="A10" s="5">
        <v>44666</v>
      </c>
      <c r="B10" t="s">
        <v>20</v>
      </c>
      <c r="C10">
        <v>-13.84</v>
      </c>
      <c r="D10" t="s">
        <v>21</v>
      </c>
      <c r="F10" t="s">
        <v>16</v>
      </c>
      <c r="G10" t="s">
        <v>14</v>
      </c>
    </row>
    <row r="11" spans="1:7" x14ac:dyDescent="0.2">
      <c r="A11" s="5">
        <v>44668</v>
      </c>
      <c r="B11" t="s">
        <v>42</v>
      </c>
      <c r="C11">
        <v>-2.79</v>
      </c>
      <c r="D11" t="s">
        <v>43</v>
      </c>
      <c r="G11" t="s">
        <v>14</v>
      </c>
    </row>
    <row r="12" spans="1:7" x14ac:dyDescent="0.2">
      <c r="A12" s="5">
        <v>44669</v>
      </c>
      <c r="B12" t="s">
        <v>44</v>
      </c>
      <c r="C12">
        <v>-131.36000000000001</v>
      </c>
      <c r="D12" t="s">
        <v>37</v>
      </c>
      <c r="G12" t="s">
        <v>14</v>
      </c>
    </row>
    <row r="13" spans="1:7" x14ac:dyDescent="0.2">
      <c r="A13" s="5">
        <v>44670</v>
      </c>
      <c r="B13" t="s">
        <v>45</v>
      </c>
      <c r="C13">
        <v>-60.71</v>
      </c>
      <c r="D13" t="s">
        <v>46</v>
      </c>
      <c r="G13" t="s">
        <v>14</v>
      </c>
    </row>
    <row r="14" spans="1:7" x14ac:dyDescent="0.2">
      <c r="A14" s="5">
        <v>44673</v>
      </c>
      <c r="B14" t="s">
        <v>47</v>
      </c>
      <c r="C14">
        <v>2378.3000000000002</v>
      </c>
      <c r="D14" t="s">
        <v>48</v>
      </c>
      <c r="F14" t="s">
        <v>16</v>
      </c>
      <c r="G14" t="s">
        <v>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99A78-87C1-CC47-9F5F-8D11457D5A7A}">
  <dimension ref="A1:X48"/>
  <sheetViews>
    <sheetView tabSelected="1" workbookViewId="0">
      <pane ySplit="1" topLeftCell="A7" activePane="bottomLeft" state="frozen"/>
      <selection pane="bottomLeft" activeCell="B13" sqref="B13"/>
    </sheetView>
  </sheetViews>
  <sheetFormatPr baseColWidth="10" defaultRowHeight="16" x14ac:dyDescent="0.2"/>
  <cols>
    <col min="1" max="1" width="10.5" style="3" bestFit="1" customWidth="1"/>
    <col min="2" max="2" width="60.5" bestFit="1" customWidth="1"/>
    <col min="3" max="3" width="8.83203125" bestFit="1" customWidth="1"/>
    <col min="4" max="4" width="28.5" bestFit="1" customWidth="1"/>
    <col min="5" max="5" width="2" bestFit="1" customWidth="1"/>
    <col min="6" max="6" width="2.83203125" bestFit="1" customWidth="1"/>
    <col min="7" max="7" width="18" bestFit="1" customWidth="1"/>
    <col min="18" max="18" width="11.33203125" bestFit="1" customWidth="1"/>
    <col min="19" max="19" width="11.33203125" customWidth="1"/>
    <col min="20" max="20" width="11.1640625" customWidth="1"/>
    <col min="21" max="21" width="12" customWidth="1"/>
    <col min="22" max="22" width="10.83203125" style="4"/>
  </cols>
  <sheetData>
    <row r="1" spans="1:23" x14ac:dyDescent="0.2">
      <c r="A1" s="3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s="2" t="s">
        <v>6</v>
      </c>
      <c r="H1" s="1" t="s">
        <v>7</v>
      </c>
      <c r="I1" t="s">
        <v>8</v>
      </c>
      <c r="J1" t="s">
        <v>9</v>
      </c>
      <c r="K1" t="s">
        <v>10</v>
      </c>
      <c r="M1" t="s">
        <v>11</v>
      </c>
      <c r="N1" t="s">
        <v>12</v>
      </c>
      <c r="O1" t="s">
        <v>13</v>
      </c>
      <c r="P1" t="s">
        <v>50</v>
      </c>
      <c r="Q1" t="s">
        <v>24</v>
      </c>
      <c r="R1" t="s">
        <v>27</v>
      </c>
      <c r="T1" t="s">
        <v>26</v>
      </c>
      <c r="U1" t="s">
        <v>28</v>
      </c>
      <c r="V1" s="4" t="s">
        <v>25</v>
      </c>
      <c r="W1" t="s">
        <v>24</v>
      </c>
    </row>
    <row r="2" spans="1:23" x14ac:dyDescent="0.2">
      <c r="A2" s="3">
        <v>44662</v>
      </c>
      <c r="B2" t="s">
        <v>29</v>
      </c>
      <c r="C2">
        <v>-47</v>
      </c>
      <c r="D2" t="s">
        <v>15</v>
      </c>
      <c r="G2" t="s">
        <v>14</v>
      </c>
      <c r="I2">
        <f t="shared" ref="I2" si="0">IF(EXACT(F2,"M"),C2,0)</f>
        <v>0</v>
      </c>
      <c r="J2">
        <f t="shared" ref="J2" si="1">IF(EXACT(G2,"CheckingStarOneTXs"),C2,0)</f>
        <v>0</v>
      </c>
      <c r="K2">
        <f t="shared" ref="K2" si="2">IF(AND(C2&lt;0,EXACT(G2,"VisaChaseTXs")),C2,0)</f>
        <v>-47</v>
      </c>
      <c r="N2" t="b">
        <f>AND(IF(G2="VisaChaseTXs",TRUE,FALSE),D2="Chase CC Payment")</f>
        <v>0</v>
      </c>
      <c r="O2">
        <f>IF(EXACT(F2,""),C2,0)</f>
        <v>-47</v>
      </c>
      <c r="P2">
        <f>IF(AND(IF(C2&lt;0,C2,FALSE),E2&lt;&gt;"y"),C2,0)</f>
        <v>-47</v>
      </c>
      <c r="Q2">
        <v>-47</v>
      </c>
      <c r="R2" s="4">
        <v>44662</v>
      </c>
      <c r="S2" s="4">
        <f>R2-$X$35</f>
        <v>1</v>
      </c>
      <c r="T2">
        <f>Q2</f>
        <v>-47</v>
      </c>
      <c r="U2">
        <f>ABS(T2)</f>
        <v>47</v>
      </c>
      <c r="V2" s="4">
        <v>1</v>
      </c>
      <c r="W2">
        <v>0</v>
      </c>
    </row>
    <row r="3" spans="1:23" x14ac:dyDescent="0.2">
      <c r="A3" s="3">
        <v>44663</v>
      </c>
      <c r="B3" t="s">
        <v>30</v>
      </c>
      <c r="C3">
        <v>-12.5</v>
      </c>
      <c r="D3" t="s">
        <v>18</v>
      </c>
      <c r="F3" t="s">
        <v>16</v>
      </c>
      <c r="G3" t="s">
        <v>14</v>
      </c>
      <c r="I3">
        <f t="shared" ref="I3:I15" si="3">IF(EXACT(F3,"M"),C3,0)</f>
        <v>-12.5</v>
      </c>
      <c r="J3">
        <f t="shared" ref="J3:J14" si="4">IF(EXACT(G3,"CheckingStarOneTXs"),C3,0)</f>
        <v>0</v>
      </c>
      <c r="K3">
        <f t="shared" ref="K3:K14" si="5">IF(AND(C3&lt;0,EXACT(G3,"VisaChaseTXs")),C3,0)</f>
        <v>-12.5</v>
      </c>
      <c r="N3" t="b">
        <f t="shared" ref="N3:N14" si="6">AND(IF(G3="VisaChaseTXs",TRUE,FALSE),D3="Chase CC Payment")</f>
        <v>0</v>
      </c>
      <c r="O3">
        <f t="shared" ref="O3:O14" si="7">IF(EXACT(F3,""),C3,0)</f>
        <v>0</v>
      </c>
      <c r="P3">
        <f t="shared" ref="P3:P36" si="8">IF(AND(IF(C3&lt;0,C3,FALSE),E3&lt;&gt;"y"),C3,0)</f>
        <v>-12.5</v>
      </c>
      <c r="Q3">
        <v>-12.5</v>
      </c>
      <c r="R3" s="4">
        <v>44663</v>
      </c>
      <c r="S3" s="4">
        <f t="shared" ref="S3:S37" si="9">R3-$X$35</f>
        <v>2</v>
      </c>
      <c r="T3">
        <f t="shared" ref="T3:T36" si="10">T2+Q3</f>
        <v>-59.5</v>
      </c>
      <c r="U3">
        <f t="shared" ref="U3:U37" si="11">ABS(T3)</f>
        <v>59.5</v>
      </c>
      <c r="V3" s="4">
        <v>2</v>
      </c>
      <c r="W3">
        <f>$W$40/31+W2</f>
        <v>41.935483870967744</v>
      </c>
    </row>
    <row r="4" spans="1:23" x14ac:dyDescent="0.2">
      <c r="A4" s="3">
        <v>44663</v>
      </c>
      <c r="B4" t="s">
        <v>31</v>
      </c>
      <c r="C4">
        <v>560.05999999999995</v>
      </c>
      <c r="D4" t="s">
        <v>32</v>
      </c>
      <c r="E4" t="s">
        <v>33</v>
      </c>
      <c r="G4" t="s">
        <v>14</v>
      </c>
      <c r="I4">
        <f t="shared" si="3"/>
        <v>0</v>
      </c>
      <c r="J4">
        <f t="shared" si="4"/>
        <v>0</v>
      </c>
      <c r="K4">
        <f t="shared" si="5"/>
        <v>0</v>
      </c>
      <c r="N4" t="b">
        <f t="shared" si="6"/>
        <v>1</v>
      </c>
      <c r="O4">
        <f t="shared" si="7"/>
        <v>560.05999999999995</v>
      </c>
      <c r="P4">
        <f t="shared" si="8"/>
        <v>0</v>
      </c>
      <c r="Q4">
        <v>0</v>
      </c>
      <c r="R4" s="4">
        <v>44663</v>
      </c>
      <c r="S4" s="4">
        <f t="shared" si="9"/>
        <v>2</v>
      </c>
      <c r="T4">
        <f t="shared" si="10"/>
        <v>-59.5</v>
      </c>
      <c r="U4">
        <f t="shared" si="11"/>
        <v>59.5</v>
      </c>
      <c r="V4" s="4">
        <v>3</v>
      </c>
      <c r="W4">
        <f t="shared" ref="W4:W33" si="12">$W$40/31+W3</f>
        <v>83.870967741935488</v>
      </c>
    </row>
    <row r="5" spans="1:23" x14ac:dyDescent="0.2">
      <c r="A5" s="3">
        <v>44664</v>
      </c>
      <c r="B5" t="s">
        <v>34</v>
      </c>
      <c r="C5">
        <v>-560.05999999999995</v>
      </c>
      <c r="D5" t="s">
        <v>35</v>
      </c>
      <c r="E5" t="s">
        <v>33</v>
      </c>
      <c r="G5" t="s">
        <v>17</v>
      </c>
      <c r="I5">
        <f t="shared" si="3"/>
        <v>0</v>
      </c>
      <c r="J5">
        <f t="shared" si="4"/>
        <v>-560.05999999999995</v>
      </c>
      <c r="K5">
        <f t="shared" si="5"/>
        <v>0</v>
      </c>
      <c r="N5" t="b">
        <f t="shared" si="6"/>
        <v>0</v>
      </c>
      <c r="O5">
        <f t="shared" si="7"/>
        <v>-560.05999999999995</v>
      </c>
      <c r="P5">
        <f t="shared" si="8"/>
        <v>0</v>
      </c>
      <c r="Q5">
        <v>0</v>
      </c>
      <c r="R5" s="4">
        <v>44664</v>
      </c>
      <c r="S5" s="4">
        <f t="shared" si="9"/>
        <v>3</v>
      </c>
      <c r="T5">
        <f t="shared" si="10"/>
        <v>-59.5</v>
      </c>
      <c r="U5">
        <f t="shared" si="11"/>
        <v>59.5</v>
      </c>
      <c r="V5" s="4">
        <v>4</v>
      </c>
      <c r="W5">
        <f t="shared" si="12"/>
        <v>125.80645161290323</v>
      </c>
    </row>
    <row r="6" spans="1:23" x14ac:dyDescent="0.2">
      <c r="A6" s="3">
        <v>44664</v>
      </c>
      <c r="B6" t="s">
        <v>36</v>
      </c>
      <c r="C6">
        <v>-40</v>
      </c>
      <c r="D6" t="s">
        <v>37</v>
      </c>
      <c r="G6" t="s">
        <v>14</v>
      </c>
      <c r="I6">
        <f t="shared" si="3"/>
        <v>0</v>
      </c>
      <c r="J6">
        <f t="shared" si="4"/>
        <v>0</v>
      </c>
      <c r="K6">
        <f t="shared" si="5"/>
        <v>-40</v>
      </c>
      <c r="N6" t="b">
        <f t="shared" si="6"/>
        <v>0</v>
      </c>
      <c r="O6">
        <f t="shared" si="7"/>
        <v>-40</v>
      </c>
      <c r="P6">
        <f t="shared" si="8"/>
        <v>-40</v>
      </c>
      <c r="Q6">
        <v>-40</v>
      </c>
      <c r="R6" s="4">
        <v>44664</v>
      </c>
      <c r="S6" s="4">
        <f t="shared" si="9"/>
        <v>3</v>
      </c>
      <c r="T6">
        <f t="shared" si="10"/>
        <v>-99.5</v>
      </c>
      <c r="U6">
        <f t="shared" si="11"/>
        <v>99.5</v>
      </c>
      <c r="V6" s="4">
        <v>5</v>
      </c>
      <c r="W6">
        <f t="shared" si="12"/>
        <v>167.74193548387098</v>
      </c>
    </row>
    <row r="7" spans="1:23" x14ac:dyDescent="0.2">
      <c r="A7" s="3">
        <v>44665</v>
      </c>
      <c r="B7" t="s">
        <v>38</v>
      </c>
      <c r="C7">
        <v>-11.99</v>
      </c>
      <c r="D7" t="s">
        <v>18</v>
      </c>
      <c r="F7" t="s">
        <v>16</v>
      </c>
      <c r="G7" t="s">
        <v>14</v>
      </c>
      <c r="I7">
        <f t="shared" si="3"/>
        <v>-11.99</v>
      </c>
      <c r="J7">
        <f t="shared" si="4"/>
        <v>0</v>
      </c>
      <c r="K7">
        <f t="shared" si="5"/>
        <v>-11.99</v>
      </c>
      <c r="N7" t="b">
        <f t="shared" si="6"/>
        <v>0</v>
      </c>
      <c r="O7">
        <f t="shared" si="7"/>
        <v>0</v>
      </c>
      <c r="P7">
        <f t="shared" si="8"/>
        <v>-11.99</v>
      </c>
      <c r="Q7">
        <v>-11.99</v>
      </c>
      <c r="R7" s="4">
        <v>44665</v>
      </c>
      <c r="S7" s="4">
        <f t="shared" si="9"/>
        <v>4</v>
      </c>
      <c r="T7">
        <f t="shared" si="10"/>
        <v>-111.49</v>
      </c>
      <c r="U7">
        <f t="shared" si="11"/>
        <v>111.49</v>
      </c>
      <c r="V7" s="4">
        <v>6</v>
      </c>
      <c r="W7">
        <f t="shared" si="12"/>
        <v>209.67741935483872</v>
      </c>
    </row>
    <row r="8" spans="1:23" x14ac:dyDescent="0.2">
      <c r="A8" s="3">
        <v>44665</v>
      </c>
      <c r="B8" t="s">
        <v>39</v>
      </c>
      <c r="C8">
        <v>2015.68</v>
      </c>
      <c r="G8" t="s">
        <v>17</v>
      </c>
      <c r="I8">
        <f t="shared" si="3"/>
        <v>0</v>
      </c>
      <c r="J8">
        <f t="shared" si="4"/>
        <v>2015.68</v>
      </c>
      <c r="K8">
        <f t="shared" si="5"/>
        <v>0</v>
      </c>
      <c r="N8" t="b">
        <f t="shared" si="6"/>
        <v>0</v>
      </c>
      <c r="O8">
        <f t="shared" si="7"/>
        <v>2015.68</v>
      </c>
      <c r="P8">
        <f>IF(AND(IF(C8&lt;0,C8,FALSE),E8&lt;&gt;"y"),C8,0)</f>
        <v>0</v>
      </c>
      <c r="Q8">
        <v>2015.68</v>
      </c>
      <c r="R8" s="4">
        <v>44665</v>
      </c>
      <c r="S8" s="4">
        <f t="shared" si="9"/>
        <v>4</v>
      </c>
      <c r="T8">
        <f t="shared" si="10"/>
        <v>1904.19</v>
      </c>
      <c r="U8">
        <f t="shared" si="11"/>
        <v>1904.19</v>
      </c>
      <c r="V8" s="4">
        <v>7</v>
      </c>
      <c r="W8">
        <f t="shared" si="12"/>
        <v>251.61290322580646</v>
      </c>
    </row>
    <row r="9" spans="1:23" x14ac:dyDescent="0.2">
      <c r="A9" s="3">
        <v>44666</v>
      </c>
      <c r="B9" t="s">
        <v>40</v>
      </c>
      <c r="C9">
        <v>-74.680000000000007</v>
      </c>
      <c r="D9" t="s">
        <v>19</v>
      </c>
      <c r="F9" t="s">
        <v>16</v>
      </c>
      <c r="G9" t="s">
        <v>17</v>
      </c>
      <c r="I9">
        <f t="shared" si="3"/>
        <v>-74.680000000000007</v>
      </c>
      <c r="J9">
        <f t="shared" si="4"/>
        <v>-74.680000000000007</v>
      </c>
      <c r="K9">
        <f t="shared" si="5"/>
        <v>0</v>
      </c>
      <c r="N9" t="b">
        <f t="shared" si="6"/>
        <v>0</v>
      </c>
      <c r="O9">
        <f t="shared" si="7"/>
        <v>0</v>
      </c>
      <c r="P9">
        <f t="shared" si="8"/>
        <v>-74.680000000000007</v>
      </c>
      <c r="Q9">
        <v>-74.680000000000007</v>
      </c>
      <c r="R9" s="4">
        <v>44666</v>
      </c>
      <c r="S9" s="4">
        <f t="shared" si="9"/>
        <v>5</v>
      </c>
      <c r="T9">
        <f t="shared" si="10"/>
        <v>1829.51</v>
      </c>
      <c r="U9">
        <f t="shared" si="11"/>
        <v>1829.51</v>
      </c>
      <c r="V9" s="4">
        <v>8</v>
      </c>
      <c r="W9">
        <f t="shared" si="12"/>
        <v>293.54838709677421</v>
      </c>
    </row>
    <row r="10" spans="1:23" x14ac:dyDescent="0.2">
      <c r="A10" s="3">
        <v>44666</v>
      </c>
      <c r="B10" t="s">
        <v>41</v>
      </c>
      <c r="C10">
        <v>-2015.68</v>
      </c>
      <c r="G10" t="s">
        <v>17</v>
      </c>
      <c r="I10">
        <f t="shared" si="3"/>
        <v>0</v>
      </c>
      <c r="J10">
        <f t="shared" si="4"/>
        <v>-2015.68</v>
      </c>
      <c r="K10">
        <f t="shared" si="5"/>
        <v>0</v>
      </c>
      <c r="N10" t="b">
        <f t="shared" si="6"/>
        <v>0</v>
      </c>
      <c r="O10">
        <f t="shared" si="7"/>
        <v>-2015.68</v>
      </c>
      <c r="P10">
        <f t="shared" si="8"/>
        <v>-2015.68</v>
      </c>
      <c r="Q10">
        <v>-2015.68</v>
      </c>
      <c r="R10" s="4">
        <v>44666</v>
      </c>
      <c r="S10" s="4">
        <f t="shared" si="9"/>
        <v>5</v>
      </c>
      <c r="T10">
        <f t="shared" si="10"/>
        <v>-186.17000000000007</v>
      </c>
      <c r="U10">
        <f t="shared" si="11"/>
        <v>186.17000000000007</v>
      </c>
      <c r="V10" s="4">
        <v>9</v>
      </c>
      <c r="W10">
        <f t="shared" si="12"/>
        <v>335.48387096774195</v>
      </c>
    </row>
    <row r="11" spans="1:23" x14ac:dyDescent="0.2">
      <c r="A11" s="3">
        <v>44666</v>
      </c>
      <c r="B11" t="s">
        <v>20</v>
      </c>
      <c r="C11">
        <v>-13.84</v>
      </c>
      <c r="D11" t="s">
        <v>21</v>
      </c>
      <c r="F11" t="s">
        <v>16</v>
      </c>
      <c r="G11" t="s">
        <v>14</v>
      </c>
      <c r="I11">
        <f t="shared" si="3"/>
        <v>-13.84</v>
      </c>
      <c r="J11">
        <f t="shared" si="4"/>
        <v>0</v>
      </c>
      <c r="K11">
        <f t="shared" si="5"/>
        <v>-13.84</v>
      </c>
      <c r="N11" t="b">
        <f t="shared" si="6"/>
        <v>0</v>
      </c>
      <c r="O11">
        <f t="shared" si="7"/>
        <v>0</v>
      </c>
      <c r="P11">
        <f t="shared" si="8"/>
        <v>-13.84</v>
      </c>
      <c r="Q11">
        <v>-13.84</v>
      </c>
      <c r="R11" s="4">
        <v>44666</v>
      </c>
      <c r="S11" s="4">
        <f t="shared" si="9"/>
        <v>5</v>
      </c>
      <c r="T11">
        <f t="shared" si="10"/>
        <v>-200.01000000000008</v>
      </c>
      <c r="U11">
        <f t="shared" si="11"/>
        <v>200.01000000000008</v>
      </c>
      <c r="V11" s="4">
        <v>10</v>
      </c>
      <c r="W11">
        <f t="shared" si="12"/>
        <v>377.41935483870969</v>
      </c>
    </row>
    <row r="12" spans="1:23" x14ac:dyDescent="0.2">
      <c r="A12" s="3">
        <v>44668</v>
      </c>
      <c r="B12" t="s">
        <v>42</v>
      </c>
      <c r="C12">
        <v>-2.79</v>
      </c>
      <c r="D12" t="s">
        <v>43</v>
      </c>
      <c r="G12" t="s">
        <v>14</v>
      </c>
      <c r="I12">
        <f t="shared" si="3"/>
        <v>0</v>
      </c>
      <c r="J12">
        <f t="shared" si="4"/>
        <v>0</v>
      </c>
      <c r="K12">
        <f t="shared" si="5"/>
        <v>-2.79</v>
      </c>
      <c r="N12" t="b">
        <f t="shared" si="6"/>
        <v>0</v>
      </c>
      <c r="O12">
        <f t="shared" si="7"/>
        <v>-2.79</v>
      </c>
      <c r="P12">
        <f t="shared" si="8"/>
        <v>-2.79</v>
      </c>
      <c r="Q12">
        <v>-2.79</v>
      </c>
      <c r="R12" s="4">
        <v>44668</v>
      </c>
      <c r="S12" s="4">
        <f t="shared" si="9"/>
        <v>7</v>
      </c>
      <c r="T12">
        <f t="shared" si="10"/>
        <v>-202.80000000000007</v>
      </c>
      <c r="U12">
        <f t="shared" si="11"/>
        <v>202.80000000000007</v>
      </c>
      <c r="V12" s="4">
        <v>11</v>
      </c>
      <c r="W12">
        <f t="shared" si="12"/>
        <v>419.35483870967744</v>
      </c>
    </row>
    <row r="13" spans="1:23" x14ac:dyDescent="0.2">
      <c r="A13" s="3">
        <v>44669</v>
      </c>
      <c r="B13" t="s">
        <v>44</v>
      </c>
      <c r="C13">
        <v>-131.36000000000001</v>
      </c>
      <c r="D13" t="s">
        <v>37</v>
      </c>
      <c r="G13" t="s">
        <v>14</v>
      </c>
      <c r="I13">
        <f t="shared" si="3"/>
        <v>0</v>
      </c>
      <c r="J13">
        <f t="shared" si="4"/>
        <v>0</v>
      </c>
      <c r="K13">
        <f t="shared" si="5"/>
        <v>-131.36000000000001</v>
      </c>
      <c r="N13" t="b">
        <f t="shared" si="6"/>
        <v>0</v>
      </c>
      <c r="O13">
        <f t="shared" si="7"/>
        <v>-131.36000000000001</v>
      </c>
      <c r="P13">
        <f t="shared" si="8"/>
        <v>-131.36000000000001</v>
      </c>
      <c r="Q13">
        <v>-131.36000000000001</v>
      </c>
      <c r="R13" s="4">
        <v>44669</v>
      </c>
      <c r="S13" s="4">
        <f t="shared" si="9"/>
        <v>8</v>
      </c>
      <c r="T13">
        <f t="shared" si="10"/>
        <v>-334.16000000000008</v>
      </c>
      <c r="U13">
        <f t="shared" si="11"/>
        <v>334.16000000000008</v>
      </c>
      <c r="V13" s="4">
        <v>12</v>
      </c>
      <c r="W13">
        <f t="shared" si="12"/>
        <v>461.29032258064518</v>
      </c>
    </row>
    <row r="14" spans="1:23" x14ac:dyDescent="0.2">
      <c r="A14" s="3">
        <v>44670</v>
      </c>
      <c r="B14" t="s">
        <v>45</v>
      </c>
      <c r="C14">
        <v>-60.71</v>
      </c>
      <c r="D14" t="s">
        <v>46</v>
      </c>
      <c r="G14" t="s">
        <v>14</v>
      </c>
      <c r="I14">
        <f t="shared" si="3"/>
        <v>0</v>
      </c>
      <c r="J14">
        <f t="shared" si="4"/>
        <v>0</v>
      </c>
      <c r="K14">
        <f t="shared" si="5"/>
        <v>-60.71</v>
      </c>
      <c r="N14" t="b">
        <f t="shared" si="6"/>
        <v>0</v>
      </c>
      <c r="O14">
        <f t="shared" si="7"/>
        <v>-60.71</v>
      </c>
      <c r="P14">
        <f t="shared" si="8"/>
        <v>-60.71</v>
      </c>
      <c r="Q14">
        <v>-60.71</v>
      </c>
      <c r="R14" s="4">
        <v>44670</v>
      </c>
      <c r="S14" s="4">
        <f t="shared" si="9"/>
        <v>9</v>
      </c>
      <c r="T14">
        <f t="shared" si="10"/>
        <v>-394.87000000000006</v>
      </c>
      <c r="U14">
        <f t="shared" si="11"/>
        <v>394.87000000000006</v>
      </c>
      <c r="V14" s="4">
        <v>13</v>
      </c>
      <c r="W14">
        <f t="shared" si="12"/>
        <v>503.22580645161293</v>
      </c>
    </row>
    <row r="15" spans="1:23" x14ac:dyDescent="0.2">
      <c r="A15" s="3">
        <v>44673</v>
      </c>
      <c r="B15" t="s">
        <v>47</v>
      </c>
      <c r="C15">
        <v>2378.3000000000002</v>
      </c>
      <c r="D15" t="s">
        <v>48</v>
      </c>
      <c r="F15" t="s">
        <v>16</v>
      </c>
      <c r="G15" t="s">
        <v>17</v>
      </c>
      <c r="I15">
        <f t="shared" si="3"/>
        <v>2378.3000000000002</v>
      </c>
      <c r="J15">
        <f t="shared" ref="J15" si="13">IF(EXACT(G15,"CheckingStarOneTXs"),C15,0)</f>
        <v>2378.3000000000002</v>
      </c>
      <c r="K15">
        <f t="shared" ref="K15" si="14">IF(AND(C15&lt;0,EXACT(G15,"VisaChaseTXs")),C15,0)</f>
        <v>0</v>
      </c>
      <c r="N15" t="b">
        <f t="shared" ref="N15" si="15">AND(IF(G15="VisaChaseTXs",TRUE,FALSE),D15="Chase CC Payment")</f>
        <v>0</v>
      </c>
      <c r="O15">
        <f t="shared" ref="O15" si="16">IF(EXACT(F15,""),C15,0)</f>
        <v>0</v>
      </c>
      <c r="P15">
        <f t="shared" si="8"/>
        <v>0</v>
      </c>
      <c r="Q15">
        <v>0</v>
      </c>
      <c r="R15" s="4">
        <v>44673</v>
      </c>
      <c r="S15" s="4">
        <f t="shared" si="9"/>
        <v>12</v>
      </c>
      <c r="T15">
        <f t="shared" si="10"/>
        <v>-394.87000000000006</v>
      </c>
      <c r="U15">
        <f t="shared" si="11"/>
        <v>394.87000000000006</v>
      </c>
      <c r="V15" s="4">
        <v>14</v>
      </c>
      <c r="W15">
        <f t="shared" si="12"/>
        <v>545.16129032258073</v>
      </c>
    </row>
    <row r="16" spans="1:23" x14ac:dyDescent="0.2">
      <c r="C16">
        <f>SUM(C2:C15)</f>
        <v>1983.43</v>
      </c>
      <c r="P16">
        <f t="shared" si="8"/>
        <v>0</v>
      </c>
      <c r="Q16">
        <v>0</v>
      </c>
      <c r="R16" s="4">
        <v>44641</v>
      </c>
      <c r="S16" s="4">
        <f t="shared" si="9"/>
        <v>-20</v>
      </c>
      <c r="T16">
        <f t="shared" si="10"/>
        <v>-394.87000000000006</v>
      </c>
      <c r="U16">
        <f t="shared" si="11"/>
        <v>394.87000000000006</v>
      </c>
      <c r="V16" s="4">
        <v>15</v>
      </c>
      <c r="W16">
        <f t="shared" si="12"/>
        <v>587.09677419354853</v>
      </c>
    </row>
    <row r="17" spans="1:23" x14ac:dyDescent="0.2">
      <c r="P17">
        <f t="shared" si="8"/>
        <v>0</v>
      </c>
      <c r="Q17">
        <v>0</v>
      </c>
      <c r="R17" s="4">
        <v>44641</v>
      </c>
      <c r="S17" s="4">
        <f t="shared" si="9"/>
        <v>-20</v>
      </c>
      <c r="T17">
        <f t="shared" si="10"/>
        <v>-394.87000000000006</v>
      </c>
      <c r="U17">
        <f t="shared" si="11"/>
        <v>394.87000000000006</v>
      </c>
      <c r="V17" s="4">
        <v>16</v>
      </c>
      <c r="W17">
        <f t="shared" si="12"/>
        <v>629.03225806451633</v>
      </c>
    </row>
    <row r="18" spans="1:23" x14ac:dyDescent="0.2">
      <c r="P18">
        <f t="shared" si="8"/>
        <v>0</v>
      </c>
      <c r="Q18">
        <v>0</v>
      </c>
      <c r="R18" s="4">
        <v>44642</v>
      </c>
      <c r="S18" s="4">
        <f t="shared" si="9"/>
        <v>-19</v>
      </c>
      <c r="T18">
        <f t="shared" si="10"/>
        <v>-394.87000000000006</v>
      </c>
      <c r="U18">
        <f t="shared" si="11"/>
        <v>394.87000000000006</v>
      </c>
      <c r="V18" s="4">
        <v>17</v>
      </c>
      <c r="W18">
        <f t="shared" si="12"/>
        <v>670.96774193548413</v>
      </c>
    </row>
    <row r="19" spans="1:23" x14ac:dyDescent="0.2">
      <c r="P19">
        <f t="shared" si="8"/>
        <v>0</v>
      </c>
      <c r="Q19">
        <v>0</v>
      </c>
      <c r="R19" s="4">
        <v>44642</v>
      </c>
      <c r="S19" s="4">
        <f t="shared" si="9"/>
        <v>-19</v>
      </c>
      <c r="T19">
        <f t="shared" si="10"/>
        <v>-394.87000000000006</v>
      </c>
      <c r="U19">
        <f t="shared" si="11"/>
        <v>394.87000000000006</v>
      </c>
      <c r="V19" s="4">
        <v>18</v>
      </c>
      <c r="W19">
        <f t="shared" si="12"/>
        <v>712.90322580645193</v>
      </c>
    </row>
    <row r="20" spans="1:23" x14ac:dyDescent="0.2">
      <c r="P20">
        <f t="shared" si="8"/>
        <v>0</v>
      </c>
      <c r="Q20">
        <v>0</v>
      </c>
      <c r="R20" s="4">
        <v>44643</v>
      </c>
      <c r="S20" s="4">
        <f t="shared" si="9"/>
        <v>-18</v>
      </c>
      <c r="T20">
        <f t="shared" si="10"/>
        <v>-394.87000000000006</v>
      </c>
      <c r="U20">
        <f t="shared" si="11"/>
        <v>394.87000000000006</v>
      </c>
      <c r="V20" s="4">
        <v>19</v>
      </c>
      <c r="W20">
        <f t="shared" si="12"/>
        <v>754.83870967741973</v>
      </c>
    </row>
    <row r="21" spans="1:23" x14ac:dyDescent="0.2">
      <c r="A21" s="3" t="s">
        <v>22</v>
      </c>
      <c r="B21" t="s">
        <v>23</v>
      </c>
      <c r="P21">
        <f t="shared" si="8"/>
        <v>0</v>
      </c>
      <c r="Q21">
        <v>0</v>
      </c>
      <c r="R21" s="4">
        <v>44647</v>
      </c>
      <c r="S21" s="4">
        <f t="shared" si="9"/>
        <v>-14</v>
      </c>
      <c r="T21">
        <f t="shared" si="10"/>
        <v>-394.87000000000006</v>
      </c>
      <c r="U21">
        <f t="shared" si="11"/>
        <v>394.87000000000006</v>
      </c>
      <c r="V21" s="4">
        <v>20</v>
      </c>
      <c r="W21">
        <f t="shared" si="12"/>
        <v>796.77419354838753</v>
      </c>
    </row>
    <row r="22" spans="1:23" x14ac:dyDescent="0.2">
      <c r="C22">
        <v>-560.05999999999995</v>
      </c>
      <c r="P22">
        <f t="shared" si="8"/>
        <v>-560.05999999999995</v>
      </c>
      <c r="Q22">
        <v>0</v>
      </c>
      <c r="R22" s="4">
        <v>44648</v>
      </c>
      <c r="S22" s="4">
        <f t="shared" si="9"/>
        <v>-13</v>
      </c>
      <c r="T22">
        <f t="shared" si="10"/>
        <v>-394.87000000000006</v>
      </c>
      <c r="U22">
        <f t="shared" si="11"/>
        <v>394.87000000000006</v>
      </c>
      <c r="V22" s="4">
        <v>21</v>
      </c>
      <c r="W22">
        <f t="shared" si="12"/>
        <v>838.70967741935533</v>
      </c>
    </row>
    <row r="23" spans="1:23" x14ac:dyDescent="0.2">
      <c r="P23">
        <f t="shared" si="8"/>
        <v>0</v>
      </c>
      <c r="Q23">
        <v>0</v>
      </c>
      <c r="R23" s="4">
        <v>44649</v>
      </c>
      <c r="S23" s="4">
        <f t="shared" si="9"/>
        <v>-12</v>
      </c>
      <c r="T23">
        <f t="shared" si="10"/>
        <v>-394.87000000000006</v>
      </c>
      <c r="U23">
        <f t="shared" si="11"/>
        <v>394.87000000000006</v>
      </c>
      <c r="V23" s="4">
        <v>22</v>
      </c>
      <c r="W23">
        <f t="shared" si="12"/>
        <v>880.64516129032313</v>
      </c>
    </row>
    <row r="24" spans="1:23" x14ac:dyDescent="0.2">
      <c r="P24">
        <f t="shared" si="8"/>
        <v>0</v>
      </c>
      <c r="Q24">
        <v>0</v>
      </c>
      <c r="R24" s="4">
        <v>44649</v>
      </c>
      <c r="S24" s="4">
        <f t="shared" si="9"/>
        <v>-12</v>
      </c>
      <c r="T24">
        <f t="shared" si="10"/>
        <v>-394.87000000000006</v>
      </c>
      <c r="U24">
        <f t="shared" si="11"/>
        <v>394.87000000000006</v>
      </c>
      <c r="V24" s="4">
        <v>23</v>
      </c>
      <c r="W24">
        <f t="shared" si="12"/>
        <v>922.58064516129093</v>
      </c>
    </row>
    <row r="25" spans="1:23" x14ac:dyDescent="0.2">
      <c r="P25">
        <f t="shared" si="8"/>
        <v>0</v>
      </c>
      <c r="Q25">
        <v>0</v>
      </c>
      <c r="R25" s="4">
        <v>44649</v>
      </c>
      <c r="S25" s="4">
        <f t="shared" si="9"/>
        <v>-12</v>
      </c>
      <c r="T25">
        <f t="shared" si="10"/>
        <v>-394.87000000000006</v>
      </c>
      <c r="U25">
        <f t="shared" si="11"/>
        <v>394.87000000000006</v>
      </c>
      <c r="V25" s="4">
        <v>24</v>
      </c>
      <c r="W25">
        <f t="shared" si="12"/>
        <v>964.51612903225873</v>
      </c>
    </row>
    <row r="26" spans="1:23" x14ac:dyDescent="0.2">
      <c r="P26">
        <f t="shared" si="8"/>
        <v>0</v>
      </c>
      <c r="Q26">
        <v>0</v>
      </c>
      <c r="R26" s="4">
        <v>44651</v>
      </c>
      <c r="S26" s="4">
        <f t="shared" si="9"/>
        <v>-10</v>
      </c>
      <c r="T26">
        <f t="shared" si="10"/>
        <v>-394.87000000000006</v>
      </c>
      <c r="U26">
        <f t="shared" si="11"/>
        <v>394.87000000000006</v>
      </c>
      <c r="V26" s="4">
        <v>25</v>
      </c>
      <c r="W26">
        <f t="shared" si="12"/>
        <v>1006.4516129032265</v>
      </c>
    </row>
    <row r="27" spans="1:23" x14ac:dyDescent="0.2">
      <c r="P27">
        <f t="shared" si="8"/>
        <v>0</v>
      </c>
      <c r="Q27">
        <v>0</v>
      </c>
      <c r="R27" s="4">
        <v>44651</v>
      </c>
      <c r="S27" s="4">
        <f t="shared" si="9"/>
        <v>-10</v>
      </c>
      <c r="T27">
        <f t="shared" si="10"/>
        <v>-394.87000000000006</v>
      </c>
      <c r="U27">
        <f t="shared" si="11"/>
        <v>394.87000000000006</v>
      </c>
      <c r="V27" s="4">
        <v>26</v>
      </c>
      <c r="W27">
        <f t="shared" si="12"/>
        <v>1048.3870967741943</v>
      </c>
    </row>
    <row r="28" spans="1:23" x14ac:dyDescent="0.2">
      <c r="P28">
        <f t="shared" si="8"/>
        <v>0</v>
      </c>
      <c r="Q28">
        <v>0</v>
      </c>
      <c r="R28" s="4">
        <v>44652</v>
      </c>
      <c r="S28" s="4">
        <f t="shared" si="9"/>
        <v>-9</v>
      </c>
      <c r="T28">
        <f t="shared" si="10"/>
        <v>-394.87000000000006</v>
      </c>
      <c r="U28">
        <f t="shared" si="11"/>
        <v>394.87000000000006</v>
      </c>
      <c r="V28" s="4">
        <v>27</v>
      </c>
      <c r="W28">
        <f t="shared" si="12"/>
        <v>1090.3225806451621</v>
      </c>
    </row>
    <row r="29" spans="1:23" x14ac:dyDescent="0.2">
      <c r="P29">
        <f t="shared" si="8"/>
        <v>0</v>
      </c>
      <c r="Q29">
        <v>0</v>
      </c>
      <c r="R29" s="4">
        <v>44652</v>
      </c>
      <c r="S29" s="4">
        <f t="shared" si="9"/>
        <v>-9</v>
      </c>
      <c r="T29">
        <f t="shared" si="10"/>
        <v>-394.87000000000006</v>
      </c>
      <c r="U29">
        <f t="shared" si="11"/>
        <v>394.87000000000006</v>
      </c>
      <c r="V29" s="4">
        <v>28</v>
      </c>
      <c r="W29">
        <f t="shared" si="12"/>
        <v>1132.2580645161299</v>
      </c>
    </row>
    <row r="30" spans="1:23" x14ac:dyDescent="0.2">
      <c r="P30">
        <f t="shared" si="8"/>
        <v>0</v>
      </c>
      <c r="Q30">
        <v>0</v>
      </c>
      <c r="R30" s="4">
        <v>44652</v>
      </c>
      <c r="S30" s="4">
        <f t="shared" si="9"/>
        <v>-9</v>
      </c>
      <c r="T30">
        <f t="shared" si="10"/>
        <v>-394.87000000000006</v>
      </c>
      <c r="U30">
        <f t="shared" si="11"/>
        <v>394.87000000000006</v>
      </c>
      <c r="V30" s="4">
        <v>29</v>
      </c>
      <c r="W30">
        <f t="shared" si="12"/>
        <v>1174.1935483870977</v>
      </c>
    </row>
    <row r="31" spans="1:23" x14ac:dyDescent="0.2">
      <c r="P31">
        <f t="shared" si="8"/>
        <v>0</v>
      </c>
      <c r="Q31">
        <v>0</v>
      </c>
      <c r="R31" s="4">
        <v>44652</v>
      </c>
      <c r="S31" s="4">
        <f t="shared" si="9"/>
        <v>-9</v>
      </c>
      <c r="T31">
        <f t="shared" si="10"/>
        <v>-394.87000000000006</v>
      </c>
      <c r="U31">
        <f t="shared" si="11"/>
        <v>394.87000000000006</v>
      </c>
      <c r="V31" s="4">
        <v>30</v>
      </c>
      <c r="W31">
        <f t="shared" si="12"/>
        <v>1216.1290322580655</v>
      </c>
    </row>
    <row r="32" spans="1:23" x14ac:dyDescent="0.2">
      <c r="P32">
        <f t="shared" si="8"/>
        <v>0</v>
      </c>
      <c r="Q32">
        <v>0</v>
      </c>
      <c r="R32" s="4">
        <v>44652</v>
      </c>
      <c r="S32" s="4">
        <f t="shared" si="9"/>
        <v>-9</v>
      </c>
      <c r="T32">
        <f t="shared" si="10"/>
        <v>-394.87000000000006</v>
      </c>
      <c r="U32">
        <f t="shared" si="11"/>
        <v>394.87000000000006</v>
      </c>
      <c r="V32" s="4">
        <v>31</v>
      </c>
      <c r="W32">
        <f t="shared" si="12"/>
        <v>1258.0645161290333</v>
      </c>
    </row>
    <row r="33" spans="8:24" x14ac:dyDescent="0.2">
      <c r="P33">
        <f t="shared" si="8"/>
        <v>0</v>
      </c>
      <c r="Q33">
        <v>0</v>
      </c>
      <c r="R33" s="4">
        <v>44654</v>
      </c>
      <c r="S33" s="4">
        <f t="shared" si="9"/>
        <v>-7</v>
      </c>
      <c r="T33">
        <f t="shared" si="10"/>
        <v>-394.87000000000006</v>
      </c>
      <c r="U33">
        <f t="shared" si="11"/>
        <v>394.87000000000006</v>
      </c>
      <c r="W33">
        <f t="shared" si="12"/>
        <v>1300.0000000000011</v>
      </c>
    </row>
    <row r="34" spans="8:24" x14ac:dyDescent="0.2">
      <c r="P34">
        <f t="shared" si="8"/>
        <v>0</v>
      </c>
      <c r="Q34">
        <v>0</v>
      </c>
      <c r="R34" s="4">
        <v>44655</v>
      </c>
      <c r="S34" s="4">
        <f t="shared" si="9"/>
        <v>-6</v>
      </c>
      <c r="T34">
        <f t="shared" si="10"/>
        <v>-394.87000000000006</v>
      </c>
      <c r="U34">
        <f t="shared" si="11"/>
        <v>394.87000000000006</v>
      </c>
    </row>
    <row r="35" spans="8:24" x14ac:dyDescent="0.2">
      <c r="P35">
        <f t="shared" si="8"/>
        <v>0</v>
      </c>
      <c r="Q35">
        <v>0</v>
      </c>
      <c r="R35" s="4">
        <v>44656</v>
      </c>
      <c r="S35" s="4">
        <f t="shared" si="9"/>
        <v>-5</v>
      </c>
      <c r="T35">
        <f t="shared" si="10"/>
        <v>-394.87000000000006</v>
      </c>
      <c r="U35">
        <f t="shared" si="11"/>
        <v>394.87000000000006</v>
      </c>
      <c r="X35">
        <v>44661</v>
      </c>
    </row>
    <row r="36" spans="8:24" x14ac:dyDescent="0.2">
      <c r="P36">
        <f t="shared" si="8"/>
        <v>0</v>
      </c>
      <c r="Q36">
        <v>0</v>
      </c>
      <c r="R36" s="4">
        <v>44657</v>
      </c>
      <c r="S36" s="4">
        <f t="shared" si="9"/>
        <v>-4</v>
      </c>
      <c r="T36">
        <f t="shared" si="10"/>
        <v>-394.87000000000006</v>
      </c>
      <c r="U36">
        <f t="shared" si="11"/>
        <v>394.87000000000006</v>
      </c>
    </row>
    <row r="37" spans="8:24" x14ac:dyDescent="0.2">
      <c r="I37">
        <f>SUM(I2:I36)</f>
        <v>2265.29</v>
      </c>
      <c r="O37">
        <f>SUM(O2:O36)</f>
        <v>-281.86</v>
      </c>
      <c r="Q37">
        <v>-603.87</v>
      </c>
      <c r="S37" s="4">
        <f t="shared" si="9"/>
        <v>-44661</v>
      </c>
      <c r="U37">
        <f t="shared" si="11"/>
        <v>0</v>
      </c>
    </row>
    <row r="39" spans="8:24" x14ac:dyDescent="0.2">
      <c r="W39" s="4" t="s">
        <v>49</v>
      </c>
    </row>
    <row r="40" spans="8:24" x14ac:dyDescent="0.2">
      <c r="W40" s="4">
        <v>1300</v>
      </c>
    </row>
    <row r="42" spans="8:24" x14ac:dyDescent="0.2">
      <c r="H42">
        <v>2302.81</v>
      </c>
    </row>
    <row r="43" spans="8:24" x14ac:dyDescent="0.2">
      <c r="H43">
        <f t="shared" ref="H43:H48" si="17">H42+C22</f>
        <v>1742.75</v>
      </c>
    </row>
    <row r="44" spans="8:24" x14ac:dyDescent="0.2">
      <c r="H44">
        <f t="shared" si="17"/>
        <v>1742.75</v>
      </c>
      <c r="I44">
        <f>IF(EXACT(F23,"M"),C23,0)</f>
        <v>0</v>
      </c>
      <c r="J44">
        <f>IF(EXACT(G23,"CheckingStarOneTXs"),C23,0)</f>
        <v>0</v>
      </c>
      <c r="K44">
        <f>IF(AND(C23&lt;0,EXACT(G23,"VisaChaseTXs")),C23,0)</f>
        <v>0</v>
      </c>
      <c r="N44" t="b">
        <f>AND(IF(G23="VisaChaseTXs",TRUE,FALSE),D23="Chase CC Payment")</f>
        <v>0</v>
      </c>
      <c r="O44">
        <f>IF(EXACT(F23,""),C23,0)</f>
        <v>0</v>
      </c>
    </row>
    <row r="45" spans="8:24" x14ac:dyDescent="0.2">
      <c r="H45">
        <f t="shared" si="17"/>
        <v>1742.75</v>
      </c>
      <c r="I45">
        <f>IF(EXACT(F24,"M"),C24,0)</f>
        <v>0</v>
      </c>
      <c r="J45">
        <f>IF(EXACT(G24,"CheckingStarOneTXs"),C24,0)</f>
        <v>0</v>
      </c>
      <c r="K45">
        <f>IF(AND(C24&lt;0,EXACT(G24,"VisaChaseTXs")),C24,0)</f>
        <v>0</v>
      </c>
      <c r="N45" t="b">
        <f>AND(IF(G24="VisaChaseTXs",TRUE,FALSE),D24="Chase CC Payment")</f>
        <v>0</v>
      </c>
      <c r="O45">
        <f>IF(EXACT(F24,""),C24,0)</f>
        <v>0</v>
      </c>
    </row>
    <row r="46" spans="8:24" x14ac:dyDescent="0.2">
      <c r="H46">
        <f t="shared" si="17"/>
        <v>1742.75</v>
      </c>
      <c r="I46">
        <f>IF(EXACT(F25,"M"),C25,0)</f>
        <v>0</v>
      </c>
      <c r="J46">
        <f>IF(EXACT(G25,"CheckingStarOneTXs"),C25,0)</f>
        <v>0</v>
      </c>
      <c r="K46">
        <f>IF(AND(C25&lt;0,EXACT(G25,"VisaChaseTXs")),C25,0)</f>
        <v>0</v>
      </c>
      <c r="N46" t="b">
        <f>AND(IF(G25="VisaChaseTXs",TRUE,FALSE),D25="Chase CC Payment")</f>
        <v>0</v>
      </c>
      <c r="O46">
        <f>IF(EXACT(F25,""),C25,0)</f>
        <v>0</v>
      </c>
    </row>
    <row r="47" spans="8:24" x14ac:dyDescent="0.2">
      <c r="H47">
        <f t="shared" si="17"/>
        <v>1742.75</v>
      </c>
      <c r="I47">
        <f>IF(EXACT(F26,"M"),C26,0)</f>
        <v>0</v>
      </c>
      <c r="J47">
        <f>IF(EXACT(G26,"CheckingStarOneTXs"),C26,0)</f>
        <v>0</v>
      </c>
      <c r="K47">
        <f>IF(AND(C26&lt;0,EXACT(G26,"VisaChaseTXs")),C26,0)</f>
        <v>0</v>
      </c>
      <c r="N47" t="b">
        <f>AND(IF(G26="VisaChaseTXs",TRUE,FALSE),D26="Chase CC Payment")</f>
        <v>0</v>
      </c>
      <c r="O47">
        <f>IF(EXACT(F26,""),C26,0)</f>
        <v>0</v>
      </c>
    </row>
    <row r="48" spans="8:24" x14ac:dyDescent="0.2">
      <c r="H48">
        <f t="shared" si="17"/>
        <v>1742.75</v>
      </c>
      <c r="I48">
        <f>IF(EXACT(F27,"M"),C27,0)</f>
        <v>0</v>
      </c>
      <c r="J48">
        <f>IF(EXACT(G27,"CheckingStarOneTXs"),C27,0)</f>
        <v>0</v>
      </c>
      <c r="K48">
        <f>IF(AND(C27&lt;0,EXACT(G27,"VisaChaseTXs")),C27,0)</f>
        <v>0</v>
      </c>
      <c r="N48" t="b">
        <f>AND(IF(G27="VisaChaseTXs",TRUE,FALSE),D27="Chase CC Payment")</f>
        <v>0</v>
      </c>
      <c r="O48">
        <f>IF(EXACT(F27,""),C27,0)</f>
        <v>0</v>
      </c>
    </row>
  </sheetData>
  <autoFilter ref="G1:G27" xr:uid="{AA399A78-87C1-CC47-9F5F-8D11457D5A7A}"/>
  <phoneticPr fontId="1" type="noConversion"/>
  <conditionalFormatting sqref="C1">
    <cfRule type="cellIs" dxfId="0" priority="1" operator="greaterThan">
      <formula>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Sheet2</vt:lpstr>
      <vt:lpstr>Sheet1</vt:lpstr>
      <vt:lpstr>Sheet2!_2022_04_10To22</vt:lpstr>
      <vt:lpstr>Sheet1!March2022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Byrne</dc:creator>
  <cp:lastModifiedBy>John Byrne</cp:lastModifiedBy>
  <dcterms:created xsi:type="dcterms:W3CDTF">2022-04-09T21:03:52Z</dcterms:created>
  <dcterms:modified xsi:type="dcterms:W3CDTF">2022-04-23T21:08:46Z</dcterms:modified>
</cp:coreProperties>
</file>