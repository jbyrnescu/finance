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queryTables/queryTable2.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queryTables/queryTable3.xml" ContentType="application/vnd.openxmlformats-officedocument.spreadsheetml.queryTable+xml"/>
  <Override PartName="/xl/tables/table3.xml" ContentType="application/vnd.openxmlformats-officedocument.spreadsheetml.table+xml"/>
  <Override PartName="/xl/queryTables/queryTable4.xml" ContentType="application/vnd.openxmlformats-officedocument.spreadsheetml.queryTable+xml"/>
  <Override PartName="/xl/comments1.xml" ContentType="application/vnd.openxmlformats-officedocument.spreadsheetml.comments+xml"/>
  <Override PartName="/xl/tables/table4.xml" ContentType="application/vnd.openxmlformats-officedocument.spreadsheetml.table+xml"/>
  <Override PartName="/xl/queryTables/queryTable5.xml" ContentType="application/vnd.openxmlformats-officedocument.spreadsheetml.queryTable+xml"/>
  <Override PartName="/xl/queryTables/queryTable6.xml" ContentType="application/vnd.openxmlformats-officedocument.spreadsheetml.queryTable+xml"/>
  <Override PartName="/xl/comments2.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queryTables/queryTable7.xml" ContentType="application/vnd.openxmlformats-officedocument.spreadsheetml.queryTable+xml"/>
  <Override PartName="/xl/drawings/drawing2.xml" ContentType="application/vnd.openxmlformats-officedocument.drawing+xml"/>
  <Override PartName="/xl/tables/table6.xml" ContentType="application/vnd.openxmlformats-officedocument.spreadsheetml.table+xml"/>
  <Override PartName="/xl/queryTables/queryTable8.xml" ContentType="application/vnd.openxmlformats-officedocument.spreadsheetml.query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3.xml" ContentType="application/vnd.openxmlformats-officedocument.spreadsheetml.comments+xml"/>
  <Override PartName="/xl/queryTables/queryTable9.xml" ContentType="application/vnd.openxmlformats-officedocument.spreadsheetml.queryTable+xml"/>
  <Override PartName="/xl/queryTables/queryTable10.xml" ContentType="application/vnd.openxmlformats-officedocument.spreadsheetml.queryTable+xml"/>
  <Override PartName="/xl/comments4.xml" ContentType="application/vnd.openxmlformats-officedocument.spreadsheetml.comments+xml"/>
  <Override PartName="/xl/tables/table7.xml" ContentType="application/vnd.openxmlformats-officedocument.spreadsheetml.table+xml"/>
  <Override PartName="/xl/queryTables/queryTable1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166925"/>
  <mc:AlternateContent xmlns:mc="http://schemas.openxmlformats.org/markup-compatibility/2006">
    <mc:Choice Requires="x15">
      <x15ac:absPath xmlns:x15ac="http://schemas.microsoft.com/office/spreadsheetml/2010/11/ac" url="/Users/jbyrne/Dropbox/eclipse-workspace/finance/"/>
    </mc:Choice>
  </mc:AlternateContent>
  <xr:revisionPtr revIDLastSave="0" documentId="13_ncr:1_{7FA555E7-4C94-8B43-A00E-D16939F65569}" xr6:coauthVersionLast="47" xr6:coauthVersionMax="47" xr10:uidLastSave="{00000000-0000-0000-0000-000000000000}"/>
  <bookViews>
    <workbookView xWindow="42040" yWindow="2340" windowWidth="67820" windowHeight="28940" activeTab="1" xr2:uid="{535C330D-3385-BC47-B3AB-34923AEE4912}"/>
  </bookViews>
  <sheets>
    <sheet name="output (2)" sheetId="21" r:id="rId1"/>
    <sheet name="CashFlow" sheetId="1" r:id="rId2"/>
    <sheet name="DollarsPerMonth" sheetId="24" r:id="rId3"/>
    <sheet name="monthlyStatus" sheetId="27" r:id="rId4"/>
    <sheet name="Sheet1" sheetId="31" r:id="rId5"/>
    <sheet name="Monthly Status Comparison" sheetId="28" r:id="rId6"/>
    <sheet name="DollarsPerDayExpenditures (2)" sheetId="15" r:id="rId7"/>
    <sheet name="DollarsPerDayExpenditures" sheetId="9" r:id="rId8"/>
    <sheet name="Budget all Txns" sheetId="13" r:id="rId9"/>
    <sheet name="BudgetPieChart" sheetId="16" r:id="rId10"/>
    <sheet name="Gas Mileage Accountability" sheetId="29" r:id="rId11"/>
    <sheet name="MandatoryCalcs" sheetId="3" r:id="rId12"/>
    <sheet name="FlatNeeds10MoSavings" sheetId="5" r:id="rId13"/>
    <sheet name="SuggestedSavings" sheetId="18" r:id="rId14"/>
    <sheet name="DebtProjections" sheetId="7" r:id="rId15"/>
    <sheet name="SuggestedDeductionsNTransfers" sheetId="6" r:id="rId16"/>
    <sheet name="AutoMileage" sheetId="30" r:id="rId17"/>
  </sheets>
  <externalReferences>
    <externalReference r:id="rId18"/>
  </externalReferences>
  <definedNames>
    <definedName name="_xlnm._FilterDatabase" localSheetId="1" hidden="1">CashFlow!$A$1:$AH$193</definedName>
    <definedName name="DollarsPerDayExpenditures" localSheetId="7">DollarsPerDayExpenditures!$A$1:$B$25</definedName>
    <definedName name="ExternalData_1" localSheetId="8" hidden="1">'Budget all Txns'!$A$1:$G$33</definedName>
    <definedName name="ExternalData_1" localSheetId="9" hidden="1">BudgetPieChart!$A$1:$B$23</definedName>
    <definedName name="ExternalData_1" localSheetId="6" hidden="1">'DollarsPerDayExpenditures (2)'!$A$1:$B$29</definedName>
    <definedName name="ExternalData_1" localSheetId="2" hidden="1">DollarsPerMonth!$A$1:$B$29</definedName>
    <definedName name="ExternalData_1" localSheetId="3" hidden="1">monthlyStatus!$A$1:$D$31</definedName>
    <definedName name="ExternalData_1" localSheetId="0" hidden="1">'output (2)'!$A$1:$G$91</definedName>
    <definedName name="ExternalData_1" localSheetId="13" hidden="1">SuggestedSavings!$A$1:$F$2</definedName>
    <definedName name="mandatory_2" localSheetId="11">MandatoryCalcs!$A$2:$A$13</definedName>
    <definedName name="output" localSheetId="11">MandatoryCalcs!$L$2:$R$26</definedName>
    <definedName name="output_4" localSheetId="1">CashFlow!$A$2:$A$17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W4" i="1" l="1"/>
  <c r="W5" i="1"/>
  <c r="W6" i="1"/>
  <c r="W7" i="1"/>
  <c r="W8" i="1"/>
  <c r="W9" i="1"/>
  <c r="W10" i="1"/>
  <c r="W11" i="1"/>
  <c r="W12" i="1"/>
  <c r="W13" i="1"/>
  <c r="W14" i="1"/>
  <c r="W15" i="1"/>
  <c r="W16" i="1" s="1"/>
  <c r="W17" i="1" s="1"/>
  <c r="W18" i="1" s="1"/>
  <c r="W19" i="1" s="1"/>
  <c r="W20" i="1" s="1"/>
  <c r="W21" i="1" s="1"/>
  <c r="W22" i="1" s="1"/>
  <c r="W23" i="1" s="1"/>
  <c r="W24" i="1" s="1"/>
  <c r="W25" i="1" s="1"/>
  <c r="W26" i="1" s="1"/>
  <c r="W27" i="1" s="1"/>
  <c r="W28" i="1" s="1"/>
  <c r="W29" i="1" s="1"/>
  <c r="W30" i="1" s="1"/>
  <c r="W31" i="1" s="1"/>
  <c r="W32" i="1" s="1"/>
  <c r="W33" i="1" s="1"/>
  <c r="W34" i="1" s="1"/>
  <c r="W35" i="1" s="1"/>
  <c r="W36" i="1" s="1"/>
  <c r="W37" i="1" s="1"/>
  <c r="W38" i="1" s="1"/>
  <c r="W39" i="1" s="1"/>
  <c r="W40" i="1" s="1"/>
  <c r="W41" i="1" s="1"/>
  <c r="W42" i="1" s="1"/>
  <c r="W43" i="1" s="1"/>
  <c r="W44" i="1" s="1"/>
  <c r="W45" i="1" s="1"/>
  <c r="W46" i="1" s="1"/>
  <c r="W47" i="1" s="1"/>
  <c r="W48" i="1" s="1"/>
  <c r="W49" i="1" s="1"/>
  <c r="W50" i="1" s="1"/>
  <c r="W51" i="1" s="1"/>
  <c r="W52" i="1" s="1"/>
  <c r="W53" i="1" s="1"/>
  <c r="W54" i="1" s="1"/>
  <c r="W55" i="1" s="1"/>
  <c r="W56" i="1" s="1"/>
  <c r="W57" i="1" s="1"/>
  <c r="W58" i="1" s="1"/>
  <c r="W59" i="1" s="1"/>
  <c r="W60" i="1" s="1"/>
  <c r="W61" i="1" s="1"/>
  <c r="W62" i="1" s="1"/>
  <c r="W63" i="1" s="1"/>
  <c r="W64" i="1" s="1"/>
  <c r="W65" i="1" s="1"/>
  <c r="W66" i="1" s="1"/>
  <c r="W67" i="1" s="1"/>
  <c r="W68" i="1" s="1"/>
  <c r="W69" i="1" s="1"/>
  <c r="W70" i="1" s="1"/>
  <c r="W71" i="1" s="1"/>
  <c r="W72" i="1" s="1"/>
  <c r="W73" i="1" s="1"/>
  <c r="W74" i="1" s="1"/>
  <c r="W75" i="1" s="1"/>
  <c r="W76" i="1" s="1"/>
  <c r="W77" i="1" s="1"/>
  <c r="W78" i="1" s="1"/>
  <c r="W79" i="1" s="1"/>
  <c r="W80" i="1" s="1"/>
  <c r="W81" i="1" s="1"/>
  <c r="W82" i="1" s="1"/>
  <c r="W83" i="1" s="1"/>
  <c r="W84" i="1" s="1"/>
  <c r="W85" i="1" s="1"/>
  <c r="W86" i="1" s="1"/>
  <c r="W87" i="1" s="1"/>
  <c r="W88" i="1" s="1"/>
  <c r="W89" i="1" s="1"/>
  <c r="W90" i="1" s="1"/>
  <c r="W91" i="1" s="1"/>
  <c r="W92" i="1" s="1"/>
  <c r="W93" i="1" s="1"/>
  <c r="W94" i="1" s="1"/>
  <c r="W95" i="1" s="1"/>
  <c r="W96" i="1" s="1"/>
  <c r="W97" i="1" s="1"/>
  <c r="W98" i="1" s="1"/>
  <c r="W99" i="1" s="1"/>
  <c r="W100" i="1" s="1"/>
  <c r="W101" i="1" s="1"/>
  <c r="W102" i="1" s="1"/>
  <c r="W103" i="1" s="1"/>
  <c r="W104" i="1" s="1"/>
  <c r="W105" i="1" s="1"/>
  <c r="W106" i="1" s="1"/>
  <c r="W107" i="1" s="1"/>
  <c r="W108" i="1" s="1"/>
  <c r="W109" i="1" s="1"/>
  <c r="W110" i="1" s="1"/>
  <c r="W111" i="1" s="1"/>
  <c r="W112" i="1" s="1"/>
  <c r="W113" i="1" s="1"/>
  <c r="W114" i="1" s="1"/>
  <c r="W115" i="1" s="1"/>
  <c r="W116" i="1" s="1"/>
  <c r="W117" i="1" s="1"/>
  <c r="W118" i="1" s="1"/>
  <c r="W119" i="1" s="1"/>
  <c r="W120" i="1" s="1"/>
  <c r="W121" i="1" s="1"/>
  <c r="W122" i="1" s="1"/>
  <c r="W123" i="1" s="1"/>
  <c r="W124" i="1" s="1"/>
  <c r="W125" i="1" s="1"/>
  <c r="W126" i="1" s="1"/>
  <c r="W127" i="1" s="1"/>
  <c r="W128" i="1" s="1"/>
  <c r="W129" i="1" s="1"/>
  <c r="W130" i="1" s="1"/>
  <c r="W131" i="1" s="1"/>
  <c r="W132" i="1" s="1"/>
  <c r="W133" i="1" s="1"/>
  <c r="W134" i="1" s="1"/>
  <c r="W135" i="1" s="1"/>
  <c r="W136" i="1" s="1"/>
  <c r="W137" i="1" s="1"/>
  <c r="W138" i="1" s="1"/>
  <c r="W139" i="1" s="1"/>
  <c r="W140" i="1" s="1"/>
  <c r="W141" i="1" s="1"/>
  <c r="W142" i="1" s="1"/>
  <c r="W143" i="1" s="1"/>
  <c r="W144" i="1" s="1"/>
  <c r="W145" i="1" s="1"/>
  <c r="W146" i="1" s="1"/>
  <c r="W147" i="1" s="1"/>
  <c r="W148" i="1" s="1"/>
  <c r="W149" i="1" s="1"/>
  <c r="W150" i="1" s="1"/>
  <c r="W151" i="1" s="1"/>
  <c r="W152" i="1" s="1"/>
  <c r="W153" i="1" s="1"/>
  <c r="W154" i="1" s="1"/>
  <c r="W155" i="1" s="1"/>
  <c r="W156" i="1" s="1"/>
  <c r="W157" i="1" s="1"/>
  <c r="W158" i="1" s="1"/>
  <c r="W159" i="1" s="1"/>
  <c r="W160" i="1" s="1"/>
  <c r="W161" i="1" s="1"/>
  <c r="W162" i="1" s="1"/>
  <c r="W163" i="1" s="1"/>
  <c r="W164" i="1" s="1"/>
  <c r="W165" i="1" s="1"/>
  <c r="W166" i="1" s="1"/>
  <c r="W167" i="1" s="1"/>
  <c r="W168" i="1" s="1"/>
  <c r="W169" i="1" s="1"/>
  <c r="W170" i="1" s="1"/>
  <c r="W171" i="1" s="1"/>
  <c r="W172" i="1" s="1"/>
  <c r="W173" i="1" s="1"/>
  <c r="W174" i="1" s="1"/>
  <c r="W175" i="1" s="1"/>
  <c r="W176" i="1" s="1"/>
  <c r="W177" i="1" s="1"/>
  <c r="W178" i="1" s="1"/>
  <c r="W179" i="1" s="1"/>
  <c r="W180" i="1" s="1"/>
  <c r="W181" i="1" s="1"/>
  <c r="W182" i="1" s="1"/>
  <c r="W183" i="1" s="1"/>
  <c r="W184" i="1" s="1"/>
  <c r="W185" i="1" s="1"/>
  <c r="W186" i="1" s="1"/>
  <c r="W187" i="1" s="1"/>
  <c r="W188" i="1" s="1"/>
  <c r="W189" i="1" s="1"/>
  <c r="W190" i="1" s="1"/>
  <c r="W191" i="1" s="1"/>
  <c r="W192" i="1" s="1"/>
  <c r="W193" i="1" s="1"/>
  <c r="W3" i="1"/>
  <c r="W2" i="1"/>
  <c r="T3"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2" i="1"/>
  <c r="AE4" i="1" s="1"/>
  <c r="J9" i="27"/>
  <c r="H31" i="27"/>
  <c r="B16" i="31"/>
  <c r="E2" i="27"/>
  <c r="E3" i="27"/>
  <c r="E4" i="27"/>
  <c r="E5" i="27"/>
  <c r="E6" i="27"/>
  <c r="E7" i="27"/>
  <c r="E8" i="27"/>
  <c r="E9" i="27"/>
  <c r="E10" i="27"/>
  <c r="E11" i="27"/>
  <c r="E12" i="27"/>
  <c r="E13" i="27"/>
  <c r="E14" i="27"/>
  <c r="E15" i="27"/>
  <c r="E16" i="27"/>
  <c r="E17" i="27"/>
  <c r="E18" i="27"/>
  <c r="E19" i="27"/>
  <c r="E20" i="27"/>
  <c r="E21" i="27"/>
  <c r="E22" i="27"/>
  <c r="E23" i="27"/>
  <c r="E24" i="27"/>
  <c r="E25" i="27"/>
  <c r="E26" i="27"/>
  <c r="E27" i="27"/>
  <c r="E28" i="27"/>
  <c r="E29" i="27"/>
  <c r="C20" i="16"/>
  <c r="C21" i="16"/>
  <c r="C22" i="16"/>
  <c r="C23" i="16"/>
  <c r="C24" i="16"/>
  <c r="K19" i="29"/>
  <c r="W19" i="29"/>
  <c r="H29" i="27"/>
  <c r="J40" i="27"/>
  <c r="G8" i="28"/>
  <c r="G20" i="28"/>
  <c r="G12" i="28"/>
  <c r="G13" i="28"/>
  <c r="J7" i="27"/>
  <c r="J19" i="27" s="1"/>
  <c r="F7" i="28"/>
  <c r="F10" i="28"/>
  <c r="F13" i="28"/>
  <c r="F18" i="28"/>
  <c r="F8" i="28"/>
  <c r="F11" i="28"/>
  <c r="F12" i="28"/>
  <c r="A1" i="29"/>
  <c r="B1" i="29"/>
  <c r="C1" i="29"/>
  <c r="D1" i="29"/>
  <c r="E1" i="29"/>
  <c r="F1" i="29"/>
  <c r="G1" i="29"/>
  <c r="H1" i="29"/>
  <c r="I1" i="29"/>
  <c r="J1" i="29"/>
  <c r="K1" i="29"/>
  <c r="L1" i="29"/>
  <c r="M1" i="29"/>
  <c r="N1" i="29"/>
  <c r="O1" i="29"/>
  <c r="P1" i="29"/>
  <c r="Q1" i="29"/>
  <c r="R1" i="29"/>
  <c r="S1" i="29"/>
  <c r="T1" i="29"/>
  <c r="U1" i="29"/>
  <c r="V1" i="29"/>
  <c r="W1" i="29"/>
  <c r="X1" i="29"/>
  <c r="A2" i="29"/>
  <c r="B2" i="29"/>
  <c r="C2" i="29"/>
  <c r="D2" i="29"/>
  <c r="E2" i="29"/>
  <c r="F2" i="29"/>
  <c r="G2" i="29"/>
  <c r="H2" i="29"/>
  <c r="I2" i="29"/>
  <c r="J2" i="29"/>
  <c r="K2" i="29"/>
  <c r="L2" i="29"/>
  <c r="M2" i="29"/>
  <c r="N2" i="29"/>
  <c r="O2" i="29"/>
  <c r="P2" i="29"/>
  <c r="Q2" i="29"/>
  <c r="R2" i="29"/>
  <c r="S2" i="29"/>
  <c r="T2" i="29"/>
  <c r="U2" i="29"/>
  <c r="V2" i="29"/>
  <c r="W2" i="29"/>
  <c r="X2" i="29"/>
  <c r="A3" i="29"/>
  <c r="B3" i="29"/>
  <c r="C3" i="29"/>
  <c r="D3" i="29"/>
  <c r="E3" i="29"/>
  <c r="F3" i="29"/>
  <c r="G3" i="29"/>
  <c r="H3" i="29"/>
  <c r="I3" i="29"/>
  <c r="J3" i="29"/>
  <c r="K3" i="29"/>
  <c r="L3" i="29"/>
  <c r="M3" i="29"/>
  <c r="N3" i="29"/>
  <c r="O3" i="29"/>
  <c r="P3" i="29"/>
  <c r="Q3" i="29"/>
  <c r="R3" i="29"/>
  <c r="S3" i="29"/>
  <c r="T3" i="29"/>
  <c r="U3" i="29"/>
  <c r="V3" i="29"/>
  <c r="W3" i="29"/>
  <c r="X3" i="29"/>
  <c r="A4" i="29"/>
  <c r="B4" i="29"/>
  <c r="C4" i="29"/>
  <c r="D4" i="29"/>
  <c r="E4" i="29"/>
  <c r="F4" i="29"/>
  <c r="G4" i="29"/>
  <c r="H4" i="29"/>
  <c r="I4" i="29"/>
  <c r="J4" i="29"/>
  <c r="K4" i="29"/>
  <c r="L4" i="29"/>
  <c r="M4" i="29"/>
  <c r="N4" i="29"/>
  <c r="O4" i="29"/>
  <c r="P4" i="29"/>
  <c r="Q4" i="29"/>
  <c r="R4" i="29"/>
  <c r="S4" i="29"/>
  <c r="T4" i="29"/>
  <c r="U4" i="29"/>
  <c r="V4" i="29"/>
  <c r="W4" i="29"/>
  <c r="X4" i="29"/>
  <c r="A5" i="29"/>
  <c r="B5" i="29"/>
  <c r="C5" i="29"/>
  <c r="D5" i="29"/>
  <c r="E5" i="29"/>
  <c r="F5" i="29"/>
  <c r="G5" i="29"/>
  <c r="H5" i="29"/>
  <c r="I5" i="29"/>
  <c r="J5" i="29"/>
  <c r="K5" i="29"/>
  <c r="L5" i="29"/>
  <c r="M5" i="29"/>
  <c r="N5" i="29"/>
  <c r="O5" i="29"/>
  <c r="P5" i="29"/>
  <c r="Q5" i="29"/>
  <c r="R5" i="29"/>
  <c r="S5" i="29"/>
  <c r="T5" i="29"/>
  <c r="U5" i="29"/>
  <c r="V5" i="29"/>
  <c r="W5" i="29"/>
  <c r="X5" i="29"/>
  <c r="A6" i="29"/>
  <c r="B6" i="29"/>
  <c r="C6" i="29"/>
  <c r="D6" i="29"/>
  <c r="E6" i="29"/>
  <c r="F6" i="29"/>
  <c r="G6" i="29"/>
  <c r="H6" i="29"/>
  <c r="I6" i="29"/>
  <c r="J6" i="29"/>
  <c r="K6" i="29"/>
  <c r="L6" i="29"/>
  <c r="M6" i="29"/>
  <c r="N6" i="29"/>
  <c r="O6" i="29"/>
  <c r="P6" i="29"/>
  <c r="Q6" i="29"/>
  <c r="R6" i="29"/>
  <c r="S6" i="29"/>
  <c r="T6" i="29"/>
  <c r="U6" i="29"/>
  <c r="V6" i="29"/>
  <c r="W6" i="29"/>
  <c r="X6" i="29"/>
  <c r="A7" i="29"/>
  <c r="B7" i="29"/>
  <c r="C7" i="29"/>
  <c r="D7" i="29"/>
  <c r="E7" i="29"/>
  <c r="F7" i="29"/>
  <c r="H7" i="29"/>
  <c r="K7" i="29"/>
  <c r="L7" i="29"/>
  <c r="N7" i="29"/>
  <c r="O7" i="29"/>
  <c r="P7" i="29"/>
  <c r="Q7" i="29"/>
  <c r="R7" i="29"/>
  <c r="S7" i="29"/>
  <c r="T7" i="29"/>
  <c r="U7" i="29"/>
  <c r="V7" i="29"/>
  <c r="W7" i="29"/>
  <c r="X7" i="29"/>
  <c r="A8" i="29"/>
  <c r="B8" i="29"/>
  <c r="C8" i="29"/>
  <c r="D8" i="29"/>
  <c r="E8" i="29"/>
  <c r="F8" i="29"/>
  <c r="H8" i="29"/>
  <c r="K8" i="29"/>
  <c r="L8" i="29"/>
  <c r="N8" i="29"/>
  <c r="O8" i="29"/>
  <c r="P8" i="29"/>
  <c r="Q8" i="29"/>
  <c r="R8" i="29"/>
  <c r="S8" i="29"/>
  <c r="T8" i="29"/>
  <c r="U8" i="29"/>
  <c r="V8" i="29"/>
  <c r="W8" i="29"/>
  <c r="X8" i="29"/>
  <c r="A9" i="29"/>
  <c r="B9" i="29"/>
  <c r="C9" i="29"/>
  <c r="D9" i="29"/>
  <c r="E9" i="29"/>
  <c r="F9" i="29"/>
  <c r="H9" i="29"/>
  <c r="K9" i="29"/>
  <c r="L9" i="29"/>
  <c r="N9" i="29"/>
  <c r="O9" i="29"/>
  <c r="P9" i="29"/>
  <c r="R9" i="29"/>
  <c r="S9" i="29"/>
  <c r="T9" i="29"/>
  <c r="U9" i="29"/>
  <c r="V9" i="29"/>
  <c r="W9" i="29"/>
  <c r="X9" i="29"/>
  <c r="A10" i="29"/>
  <c r="B10" i="29"/>
  <c r="C10" i="29"/>
  <c r="D10" i="29"/>
  <c r="E10" i="29"/>
  <c r="F10" i="29"/>
  <c r="H10" i="29"/>
  <c r="K10" i="29"/>
  <c r="N10" i="29"/>
  <c r="O10" i="29"/>
  <c r="P10" i="29"/>
  <c r="R10" i="29"/>
  <c r="S10" i="29"/>
  <c r="T10" i="29"/>
  <c r="U10" i="29"/>
  <c r="V10" i="29"/>
  <c r="W10" i="29"/>
  <c r="X10" i="29"/>
  <c r="A11" i="29"/>
  <c r="B11" i="29"/>
  <c r="C11" i="29"/>
  <c r="D11" i="29"/>
  <c r="E11" i="29"/>
  <c r="F11" i="29"/>
  <c r="H11" i="29"/>
  <c r="N11" i="29"/>
  <c r="O11" i="29"/>
  <c r="P11" i="29"/>
  <c r="R11" i="29"/>
  <c r="S11" i="29"/>
  <c r="T11" i="29"/>
  <c r="U11" i="29"/>
  <c r="V11" i="29"/>
  <c r="W11" i="29"/>
  <c r="X11" i="29"/>
  <c r="A12" i="29"/>
  <c r="B12" i="29"/>
  <c r="C12" i="29"/>
  <c r="D12" i="29"/>
  <c r="E12" i="29"/>
  <c r="F12" i="29"/>
  <c r="H12" i="29"/>
  <c r="N12" i="29"/>
  <c r="O12" i="29"/>
  <c r="P12" i="29"/>
  <c r="R12" i="29"/>
  <c r="S12" i="29"/>
  <c r="T12" i="29"/>
  <c r="U12" i="29"/>
  <c r="V12" i="29"/>
  <c r="W12" i="29"/>
  <c r="X12" i="29"/>
  <c r="A13" i="29"/>
  <c r="B13" i="29"/>
  <c r="C13" i="29"/>
  <c r="D13" i="29"/>
  <c r="E13" i="29"/>
  <c r="F13" i="29"/>
  <c r="H13" i="29"/>
  <c r="N13" i="29"/>
  <c r="O13" i="29"/>
  <c r="P13" i="29"/>
  <c r="R13" i="29"/>
  <c r="S13" i="29"/>
  <c r="T13" i="29"/>
  <c r="U13" i="29"/>
  <c r="V13" i="29"/>
  <c r="W13" i="29"/>
  <c r="X13" i="29"/>
  <c r="A14" i="29"/>
  <c r="B14" i="29"/>
  <c r="C14" i="29"/>
  <c r="D14" i="29"/>
  <c r="E14" i="29"/>
  <c r="F14" i="29"/>
  <c r="H14" i="29"/>
  <c r="N14" i="29"/>
  <c r="O14" i="29"/>
  <c r="P14" i="29"/>
  <c r="R14" i="29"/>
  <c r="S14" i="29"/>
  <c r="T14" i="29"/>
  <c r="U14" i="29"/>
  <c r="V14" i="29"/>
  <c r="W14" i="29"/>
  <c r="X14" i="29"/>
  <c r="A15" i="29"/>
  <c r="B15" i="29"/>
  <c r="C15" i="29"/>
  <c r="D15" i="29"/>
  <c r="E15" i="29"/>
  <c r="F15" i="29"/>
  <c r="H15" i="29"/>
  <c r="N15" i="29"/>
  <c r="O15" i="29"/>
  <c r="P15" i="29"/>
  <c r="R15" i="29"/>
  <c r="S15" i="29"/>
  <c r="T15" i="29"/>
  <c r="U15" i="29"/>
  <c r="V15" i="29"/>
  <c r="W15" i="29"/>
  <c r="X15" i="29"/>
  <c r="A16" i="29"/>
  <c r="B16" i="29"/>
  <c r="C16" i="29"/>
  <c r="D16" i="29"/>
  <c r="E16" i="29"/>
  <c r="F16" i="29"/>
  <c r="H16" i="29"/>
  <c r="N16" i="29"/>
  <c r="O16" i="29"/>
  <c r="P16" i="29"/>
  <c r="R16" i="29"/>
  <c r="S16" i="29"/>
  <c r="T16" i="29"/>
  <c r="U16" i="29"/>
  <c r="V16" i="29"/>
  <c r="W16" i="29"/>
  <c r="X16" i="29"/>
  <c r="A17" i="29"/>
  <c r="B17" i="29"/>
  <c r="C17" i="29"/>
  <c r="D17" i="29"/>
  <c r="E17" i="29"/>
  <c r="F17" i="29"/>
  <c r="H17" i="29"/>
  <c r="N17" i="29"/>
  <c r="O17" i="29"/>
  <c r="P17" i="29"/>
  <c r="R17" i="29"/>
  <c r="S17" i="29"/>
  <c r="T17" i="29"/>
  <c r="U17" i="29"/>
  <c r="V17" i="29"/>
  <c r="W17" i="29"/>
  <c r="X17" i="29"/>
  <c r="A18" i="29"/>
  <c r="B18" i="29"/>
  <c r="C18" i="29"/>
  <c r="D18" i="29"/>
  <c r="E18" i="29"/>
  <c r="F18" i="29"/>
  <c r="H18" i="29"/>
  <c r="N18" i="29"/>
  <c r="O18" i="29"/>
  <c r="P18" i="29"/>
  <c r="Q18" i="29"/>
  <c r="R18" i="29"/>
  <c r="S18" i="29"/>
  <c r="T18" i="29"/>
  <c r="U18" i="29"/>
  <c r="V18" i="29"/>
  <c r="X18" i="29"/>
  <c r="A19" i="29"/>
  <c r="B19" i="29"/>
  <c r="C19" i="29"/>
  <c r="D19" i="29"/>
  <c r="E19" i="29"/>
  <c r="F19" i="29"/>
  <c r="G19" i="29"/>
  <c r="H19" i="29"/>
  <c r="I19" i="29"/>
  <c r="J19" i="29"/>
  <c r="N19" i="29"/>
  <c r="O19" i="29"/>
  <c r="P19" i="29"/>
  <c r="Q19" i="29"/>
  <c r="R19" i="29"/>
  <c r="S19" i="29"/>
  <c r="T19" i="29"/>
  <c r="U19" i="29"/>
  <c r="V19" i="29"/>
  <c r="X19" i="29"/>
  <c r="A20" i="29"/>
  <c r="B20" i="29"/>
  <c r="C20" i="29"/>
  <c r="D20" i="29"/>
  <c r="E20" i="29"/>
  <c r="F20" i="29"/>
  <c r="G20" i="29"/>
  <c r="H20" i="29"/>
  <c r="I20" i="29"/>
  <c r="J20" i="29"/>
  <c r="K20" i="29"/>
  <c r="L20" i="29"/>
  <c r="M20" i="29"/>
  <c r="N20" i="29"/>
  <c r="O20" i="29"/>
  <c r="P20" i="29"/>
  <c r="Q20" i="29"/>
  <c r="R20" i="29"/>
  <c r="S20" i="29"/>
  <c r="T20" i="29"/>
  <c r="U20" i="29"/>
  <c r="V20" i="29"/>
  <c r="W20" i="29"/>
  <c r="X20" i="29"/>
  <c r="A21" i="29"/>
  <c r="B21" i="29"/>
  <c r="C21" i="29"/>
  <c r="D21" i="29"/>
  <c r="E21" i="29"/>
  <c r="F21" i="29"/>
  <c r="G21" i="29"/>
  <c r="H21" i="29"/>
  <c r="I21" i="29"/>
  <c r="J21" i="29"/>
  <c r="K21" i="29"/>
  <c r="L21" i="29"/>
  <c r="M21" i="29"/>
  <c r="N21" i="29"/>
  <c r="O21" i="29"/>
  <c r="P21" i="29"/>
  <c r="Q21" i="29"/>
  <c r="R21" i="29"/>
  <c r="S21" i="29"/>
  <c r="T21" i="29"/>
  <c r="U21" i="29"/>
  <c r="V21" i="29"/>
  <c r="W21" i="29"/>
  <c r="X21" i="29"/>
  <c r="A22" i="29"/>
  <c r="B22" i="29"/>
  <c r="C22" i="29"/>
  <c r="D22" i="29"/>
  <c r="E22" i="29"/>
  <c r="F22" i="29"/>
  <c r="G22" i="29"/>
  <c r="H22" i="29"/>
  <c r="I22" i="29"/>
  <c r="J22" i="29"/>
  <c r="K22" i="29"/>
  <c r="L22" i="29"/>
  <c r="M22" i="29"/>
  <c r="N22" i="29"/>
  <c r="O22" i="29"/>
  <c r="P22" i="29"/>
  <c r="Q22" i="29"/>
  <c r="R22" i="29"/>
  <c r="S22" i="29"/>
  <c r="T22" i="29"/>
  <c r="U22" i="29"/>
  <c r="V22" i="29"/>
  <c r="W22" i="29"/>
  <c r="X22" i="29"/>
  <c r="A23" i="29"/>
  <c r="B23" i="29"/>
  <c r="C23" i="29"/>
  <c r="D23" i="29"/>
  <c r="E23" i="29"/>
  <c r="F23" i="29"/>
  <c r="G23" i="29"/>
  <c r="H23" i="29"/>
  <c r="I23" i="29"/>
  <c r="J23" i="29"/>
  <c r="K23" i="29"/>
  <c r="L23" i="29"/>
  <c r="M23" i="29"/>
  <c r="N23" i="29"/>
  <c r="O23" i="29"/>
  <c r="P23" i="29"/>
  <c r="Q23" i="29"/>
  <c r="R23" i="29"/>
  <c r="S23" i="29"/>
  <c r="T23" i="29"/>
  <c r="U23" i="29"/>
  <c r="V23" i="29"/>
  <c r="W23" i="29"/>
  <c r="X23" i="29"/>
  <c r="A24" i="29"/>
  <c r="B24" i="29"/>
  <c r="C24" i="29"/>
  <c r="D24" i="29"/>
  <c r="E24" i="29"/>
  <c r="F24" i="29"/>
  <c r="G24" i="29"/>
  <c r="H24" i="29"/>
  <c r="I24" i="29"/>
  <c r="J24" i="29"/>
  <c r="K24" i="29"/>
  <c r="L24" i="29"/>
  <c r="M24" i="29"/>
  <c r="N24" i="29"/>
  <c r="O24" i="29"/>
  <c r="P24" i="29"/>
  <c r="Q24" i="29"/>
  <c r="R24" i="29"/>
  <c r="S24" i="29"/>
  <c r="T24" i="29"/>
  <c r="U24" i="29"/>
  <c r="V24" i="29"/>
  <c r="W24" i="29"/>
  <c r="X24" i="29"/>
  <c r="A25" i="29"/>
  <c r="B25" i="29"/>
  <c r="C25" i="29"/>
  <c r="D25" i="29"/>
  <c r="E25" i="29"/>
  <c r="F25" i="29"/>
  <c r="G25" i="29"/>
  <c r="H25" i="29"/>
  <c r="I25" i="29"/>
  <c r="J25" i="29"/>
  <c r="K25" i="29"/>
  <c r="L25" i="29"/>
  <c r="M25" i="29"/>
  <c r="N25" i="29"/>
  <c r="O25" i="29"/>
  <c r="P25" i="29"/>
  <c r="Q25" i="29"/>
  <c r="R25" i="29"/>
  <c r="S25" i="29"/>
  <c r="T25" i="29"/>
  <c r="U25" i="29"/>
  <c r="V25" i="29"/>
  <c r="W25" i="29"/>
  <c r="X25" i="29"/>
  <c r="A26" i="29"/>
  <c r="B26" i="29"/>
  <c r="C26" i="29"/>
  <c r="D26" i="29"/>
  <c r="E26" i="29"/>
  <c r="F26" i="29"/>
  <c r="G26" i="29"/>
  <c r="H26" i="29"/>
  <c r="I26" i="29"/>
  <c r="J26" i="29"/>
  <c r="K26" i="29"/>
  <c r="L26" i="29"/>
  <c r="M26" i="29"/>
  <c r="N26" i="29"/>
  <c r="O26" i="29"/>
  <c r="P26" i="29"/>
  <c r="Q26" i="29"/>
  <c r="R26" i="29"/>
  <c r="S26" i="29"/>
  <c r="T26" i="29"/>
  <c r="U26" i="29"/>
  <c r="V26" i="29"/>
  <c r="W26" i="29"/>
  <c r="X26" i="29"/>
  <c r="A27" i="29"/>
  <c r="B27" i="29"/>
  <c r="C27" i="29"/>
  <c r="D27" i="29"/>
  <c r="E27" i="29"/>
  <c r="F27" i="29"/>
  <c r="G27" i="29"/>
  <c r="H27" i="29"/>
  <c r="I27" i="29"/>
  <c r="J27" i="29"/>
  <c r="K27" i="29"/>
  <c r="L27" i="29"/>
  <c r="M27" i="29"/>
  <c r="N27" i="29"/>
  <c r="O27" i="29"/>
  <c r="P27" i="29"/>
  <c r="Q27" i="29"/>
  <c r="R27" i="29"/>
  <c r="S27" i="29"/>
  <c r="T27" i="29"/>
  <c r="U27" i="29"/>
  <c r="V27" i="29"/>
  <c r="W27" i="29"/>
  <c r="X27" i="29"/>
  <c r="A28" i="29"/>
  <c r="B28" i="29"/>
  <c r="C28" i="29"/>
  <c r="D28" i="29"/>
  <c r="E28" i="29"/>
  <c r="F28" i="29"/>
  <c r="G28" i="29"/>
  <c r="H28" i="29"/>
  <c r="I28" i="29"/>
  <c r="J28" i="29"/>
  <c r="K28" i="29"/>
  <c r="L28" i="29"/>
  <c r="M28" i="29"/>
  <c r="N28" i="29"/>
  <c r="O28" i="29"/>
  <c r="P28" i="29"/>
  <c r="Q28" i="29"/>
  <c r="R28" i="29"/>
  <c r="S28" i="29"/>
  <c r="T28" i="29"/>
  <c r="U28" i="29"/>
  <c r="V28" i="29"/>
  <c r="W28" i="29"/>
  <c r="X28" i="29"/>
  <c r="A29" i="29"/>
  <c r="B29" i="29"/>
  <c r="C29" i="29"/>
  <c r="D29" i="29"/>
  <c r="E29" i="29"/>
  <c r="F29" i="29"/>
  <c r="G29" i="29"/>
  <c r="H29" i="29"/>
  <c r="I29" i="29"/>
  <c r="J29" i="29"/>
  <c r="K29" i="29"/>
  <c r="L29" i="29"/>
  <c r="M29" i="29"/>
  <c r="N29" i="29"/>
  <c r="O29" i="29"/>
  <c r="P29" i="29"/>
  <c r="Q29" i="29"/>
  <c r="R29" i="29"/>
  <c r="S29" i="29"/>
  <c r="T29" i="29"/>
  <c r="U29" i="29"/>
  <c r="V29" i="29"/>
  <c r="W29" i="29"/>
  <c r="X29" i="29"/>
  <c r="A30" i="29"/>
  <c r="B30" i="29"/>
  <c r="C30" i="29"/>
  <c r="D30" i="29"/>
  <c r="E30" i="29"/>
  <c r="F30" i="29"/>
  <c r="G30" i="29"/>
  <c r="H30" i="29"/>
  <c r="I30" i="29"/>
  <c r="J30" i="29"/>
  <c r="K30" i="29"/>
  <c r="L30" i="29"/>
  <c r="M30" i="29"/>
  <c r="N30" i="29"/>
  <c r="O30" i="29"/>
  <c r="P30" i="29"/>
  <c r="Q30" i="29"/>
  <c r="R30" i="29"/>
  <c r="S30" i="29"/>
  <c r="T30" i="29"/>
  <c r="U30" i="29"/>
  <c r="V30" i="29"/>
  <c r="W30" i="29"/>
  <c r="X30" i="29"/>
  <c r="A31" i="29"/>
  <c r="B31" i="29"/>
  <c r="C31" i="29"/>
  <c r="D31" i="29"/>
  <c r="E31" i="29"/>
  <c r="F31" i="29"/>
  <c r="G31" i="29"/>
  <c r="H31" i="29"/>
  <c r="I31" i="29"/>
  <c r="J31" i="29"/>
  <c r="K31" i="29"/>
  <c r="L31" i="29"/>
  <c r="M31" i="29"/>
  <c r="N31" i="29"/>
  <c r="O31" i="29"/>
  <c r="P31" i="29"/>
  <c r="Q31" i="29"/>
  <c r="R31" i="29"/>
  <c r="S31" i="29"/>
  <c r="T31" i="29"/>
  <c r="U31" i="29"/>
  <c r="V31" i="29"/>
  <c r="W31" i="29"/>
  <c r="X31" i="29"/>
  <c r="A32" i="29"/>
  <c r="B32" i="29"/>
  <c r="C32" i="29"/>
  <c r="D32" i="29"/>
  <c r="E32" i="29"/>
  <c r="F32" i="29"/>
  <c r="G32" i="29"/>
  <c r="H32" i="29"/>
  <c r="I32" i="29"/>
  <c r="J32" i="29"/>
  <c r="K32" i="29"/>
  <c r="L32" i="29"/>
  <c r="M32" i="29"/>
  <c r="N32" i="29"/>
  <c r="O32" i="29"/>
  <c r="P32" i="29"/>
  <c r="Q32" i="29"/>
  <c r="R32" i="29"/>
  <c r="S32" i="29"/>
  <c r="T32" i="29"/>
  <c r="U32" i="29"/>
  <c r="V32" i="29"/>
  <c r="W32" i="29"/>
  <c r="X32" i="29"/>
  <c r="A33" i="29"/>
  <c r="B33" i="29"/>
  <c r="C33" i="29"/>
  <c r="D33" i="29"/>
  <c r="E33" i="29"/>
  <c r="F33" i="29"/>
  <c r="G33" i="29"/>
  <c r="H33" i="29"/>
  <c r="I33" i="29"/>
  <c r="J33" i="29"/>
  <c r="K33" i="29"/>
  <c r="L33" i="29"/>
  <c r="M33" i="29"/>
  <c r="N33" i="29"/>
  <c r="O33" i="29"/>
  <c r="P33" i="29"/>
  <c r="Q33" i="29"/>
  <c r="R33" i="29"/>
  <c r="S33" i="29"/>
  <c r="T33" i="29"/>
  <c r="U33" i="29"/>
  <c r="V33" i="29"/>
  <c r="W33" i="29"/>
  <c r="X33" i="29"/>
  <c r="A34" i="29"/>
  <c r="B34" i="29"/>
  <c r="C34" i="29"/>
  <c r="D34" i="29"/>
  <c r="E34" i="29"/>
  <c r="F34" i="29"/>
  <c r="G34" i="29"/>
  <c r="H34" i="29"/>
  <c r="I34" i="29"/>
  <c r="J34" i="29"/>
  <c r="K34" i="29"/>
  <c r="L34" i="29"/>
  <c r="M34" i="29"/>
  <c r="N34" i="29"/>
  <c r="O34" i="29"/>
  <c r="P34" i="29"/>
  <c r="Q34" i="29"/>
  <c r="R34" i="29"/>
  <c r="S34" i="29"/>
  <c r="T34" i="29"/>
  <c r="U34" i="29"/>
  <c r="V34" i="29"/>
  <c r="W34" i="29"/>
  <c r="X34" i="29"/>
  <c r="A35" i="29"/>
  <c r="B35" i="29"/>
  <c r="C35" i="29"/>
  <c r="D35" i="29"/>
  <c r="E35" i="29"/>
  <c r="F35" i="29"/>
  <c r="G35" i="29"/>
  <c r="H35" i="29"/>
  <c r="I35" i="29"/>
  <c r="J35" i="29"/>
  <c r="K35" i="29"/>
  <c r="L35" i="29"/>
  <c r="M35" i="29"/>
  <c r="N35" i="29"/>
  <c r="O35" i="29"/>
  <c r="P35" i="29"/>
  <c r="Q35" i="29"/>
  <c r="R35" i="29"/>
  <c r="S35" i="29"/>
  <c r="T35" i="29"/>
  <c r="U35" i="29"/>
  <c r="V35" i="29"/>
  <c r="W35" i="29"/>
  <c r="X35" i="29"/>
  <c r="A36" i="29"/>
  <c r="B36" i="29"/>
  <c r="C36" i="29"/>
  <c r="D36" i="29"/>
  <c r="E36" i="29"/>
  <c r="F36" i="29"/>
  <c r="G36" i="29"/>
  <c r="H36" i="29"/>
  <c r="I36" i="29"/>
  <c r="J36" i="29"/>
  <c r="K36" i="29"/>
  <c r="L36" i="29"/>
  <c r="M36" i="29"/>
  <c r="N36" i="29"/>
  <c r="O36" i="29"/>
  <c r="P36" i="29"/>
  <c r="Q36" i="29"/>
  <c r="R36" i="29"/>
  <c r="S36" i="29"/>
  <c r="T36" i="29"/>
  <c r="U36" i="29"/>
  <c r="V36" i="29"/>
  <c r="W36" i="29"/>
  <c r="X36" i="29"/>
  <c r="A37" i="29"/>
  <c r="B37" i="29"/>
  <c r="C37" i="29"/>
  <c r="D37" i="29"/>
  <c r="E37" i="29"/>
  <c r="F37" i="29"/>
  <c r="G37" i="29"/>
  <c r="H37" i="29"/>
  <c r="I37" i="29"/>
  <c r="J37" i="29"/>
  <c r="K37" i="29"/>
  <c r="L37" i="29"/>
  <c r="M37" i="29"/>
  <c r="N37" i="29"/>
  <c r="O37" i="29"/>
  <c r="P37" i="29"/>
  <c r="Q37" i="29"/>
  <c r="R37" i="29"/>
  <c r="S37" i="29"/>
  <c r="T37" i="29"/>
  <c r="U37" i="29"/>
  <c r="V37" i="29"/>
  <c r="W37" i="29"/>
  <c r="X37" i="29"/>
  <c r="A38" i="29"/>
  <c r="B38" i="29"/>
  <c r="C38" i="29"/>
  <c r="D38" i="29"/>
  <c r="E38" i="29"/>
  <c r="F38" i="29"/>
  <c r="G38" i="29"/>
  <c r="H38" i="29"/>
  <c r="I38" i="29"/>
  <c r="J38" i="29"/>
  <c r="K38" i="29"/>
  <c r="L38" i="29"/>
  <c r="M38" i="29"/>
  <c r="N38" i="29"/>
  <c r="O38" i="29"/>
  <c r="P38" i="29"/>
  <c r="Q38" i="29"/>
  <c r="R38" i="29"/>
  <c r="S38" i="29"/>
  <c r="T38" i="29"/>
  <c r="U38" i="29"/>
  <c r="V38" i="29"/>
  <c r="W38" i="29"/>
  <c r="X38" i="29"/>
  <c r="A39" i="29"/>
  <c r="B39" i="29"/>
  <c r="C39" i="29"/>
  <c r="D39" i="29"/>
  <c r="E39" i="29"/>
  <c r="F39" i="29"/>
  <c r="G39" i="29"/>
  <c r="H39" i="29"/>
  <c r="I39" i="29"/>
  <c r="J39" i="29"/>
  <c r="K39" i="29"/>
  <c r="L39" i="29"/>
  <c r="M39" i="29"/>
  <c r="N39" i="29"/>
  <c r="O39" i="29"/>
  <c r="P39" i="29"/>
  <c r="Q39" i="29"/>
  <c r="R39" i="29"/>
  <c r="S39" i="29"/>
  <c r="T39" i="29"/>
  <c r="U39" i="29"/>
  <c r="V39" i="29"/>
  <c r="W39" i="29"/>
  <c r="X39" i="29"/>
  <c r="A40" i="29"/>
  <c r="B40" i="29"/>
  <c r="C40" i="29"/>
  <c r="D40" i="29"/>
  <c r="E40" i="29"/>
  <c r="F40" i="29"/>
  <c r="G40" i="29"/>
  <c r="H40" i="29"/>
  <c r="I40" i="29"/>
  <c r="J40" i="29"/>
  <c r="K40" i="29"/>
  <c r="L40" i="29"/>
  <c r="M40" i="29"/>
  <c r="N40" i="29"/>
  <c r="O40" i="29"/>
  <c r="P40" i="29"/>
  <c r="Q40" i="29"/>
  <c r="R40" i="29"/>
  <c r="S40" i="29"/>
  <c r="T40" i="29"/>
  <c r="U40" i="29"/>
  <c r="V40" i="29"/>
  <c r="W40" i="29"/>
  <c r="X40" i="29"/>
  <c r="A41" i="29"/>
  <c r="B41" i="29"/>
  <c r="C41" i="29"/>
  <c r="D41" i="29"/>
  <c r="E41" i="29"/>
  <c r="F41" i="29"/>
  <c r="G41" i="29"/>
  <c r="H41" i="29"/>
  <c r="I41" i="29"/>
  <c r="J41" i="29"/>
  <c r="K41" i="29"/>
  <c r="L41" i="29"/>
  <c r="M41" i="29"/>
  <c r="N41" i="29"/>
  <c r="O41" i="29"/>
  <c r="P41" i="29"/>
  <c r="Q41" i="29"/>
  <c r="R41" i="29"/>
  <c r="S41" i="29"/>
  <c r="T41" i="29"/>
  <c r="U41" i="29"/>
  <c r="V41" i="29"/>
  <c r="W41" i="29"/>
  <c r="X41" i="29"/>
  <c r="A42" i="29"/>
  <c r="B42" i="29"/>
  <c r="C42" i="29"/>
  <c r="D42" i="29"/>
  <c r="E42" i="29"/>
  <c r="F42" i="29"/>
  <c r="G42" i="29"/>
  <c r="H42" i="29"/>
  <c r="I42" i="29"/>
  <c r="J42" i="29"/>
  <c r="K42" i="29"/>
  <c r="L42" i="29"/>
  <c r="M42" i="29"/>
  <c r="N42" i="29"/>
  <c r="O42" i="29"/>
  <c r="P42" i="29"/>
  <c r="Q42" i="29"/>
  <c r="R42" i="29"/>
  <c r="S42" i="29"/>
  <c r="T42" i="29"/>
  <c r="U42" i="29"/>
  <c r="V42" i="29"/>
  <c r="W42" i="29"/>
  <c r="X42" i="29"/>
  <c r="A43" i="29"/>
  <c r="B43" i="29"/>
  <c r="C43" i="29"/>
  <c r="D43" i="29"/>
  <c r="E43" i="29"/>
  <c r="F43" i="29"/>
  <c r="G43" i="29"/>
  <c r="H43" i="29"/>
  <c r="I43" i="29"/>
  <c r="J43" i="29"/>
  <c r="K43" i="29"/>
  <c r="L43" i="29"/>
  <c r="M43" i="29"/>
  <c r="N43" i="29"/>
  <c r="O43" i="29"/>
  <c r="P43" i="29"/>
  <c r="Q43" i="29"/>
  <c r="R43" i="29"/>
  <c r="S43" i="29"/>
  <c r="T43" i="29"/>
  <c r="U43" i="29"/>
  <c r="V43" i="29"/>
  <c r="W43" i="29"/>
  <c r="X43" i="29"/>
  <c r="A44" i="29"/>
  <c r="B44" i="29"/>
  <c r="C44" i="29"/>
  <c r="D44" i="29"/>
  <c r="E44" i="29"/>
  <c r="F44" i="29"/>
  <c r="G44" i="29"/>
  <c r="H44" i="29"/>
  <c r="I44" i="29"/>
  <c r="J44" i="29"/>
  <c r="K44" i="29"/>
  <c r="L44" i="29"/>
  <c r="M44" i="29"/>
  <c r="N44" i="29"/>
  <c r="O44" i="29"/>
  <c r="P44" i="29"/>
  <c r="Q44" i="29"/>
  <c r="R44" i="29"/>
  <c r="S44" i="29"/>
  <c r="T44" i="29"/>
  <c r="U44" i="29"/>
  <c r="V44" i="29"/>
  <c r="W44" i="29"/>
  <c r="X44" i="29"/>
  <c r="A45" i="29"/>
  <c r="B45" i="29"/>
  <c r="C45" i="29"/>
  <c r="D45" i="29"/>
  <c r="E45" i="29"/>
  <c r="F45" i="29"/>
  <c r="G45" i="29"/>
  <c r="H45" i="29"/>
  <c r="I45" i="29"/>
  <c r="J45" i="29"/>
  <c r="K45" i="29"/>
  <c r="L45" i="29"/>
  <c r="M45" i="29"/>
  <c r="N45" i="29"/>
  <c r="O45" i="29"/>
  <c r="P45" i="29"/>
  <c r="Q45" i="29"/>
  <c r="R45" i="29"/>
  <c r="S45" i="29"/>
  <c r="T45" i="29"/>
  <c r="U45" i="29"/>
  <c r="V45" i="29"/>
  <c r="W45" i="29"/>
  <c r="X45" i="29"/>
  <c r="A46" i="29"/>
  <c r="B46" i="29"/>
  <c r="C46" i="29"/>
  <c r="D46" i="29"/>
  <c r="E46" i="29"/>
  <c r="F46" i="29"/>
  <c r="G46" i="29"/>
  <c r="H46" i="29"/>
  <c r="I46" i="29"/>
  <c r="J46" i="29"/>
  <c r="K46" i="29"/>
  <c r="L46" i="29"/>
  <c r="M46" i="29"/>
  <c r="N46" i="29"/>
  <c r="O46" i="29"/>
  <c r="P46" i="29"/>
  <c r="Q46" i="29"/>
  <c r="R46" i="29"/>
  <c r="S46" i="29"/>
  <c r="T46" i="29"/>
  <c r="U46" i="29"/>
  <c r="V46" i="29"/>
  <c r="W46" i="29"/>
  <c r="X46" i="29"/>
  <c r="A47" i="29"/>
  <c r="B47" i="29"/>
  <c r="C47" i="29"/>
  <c r="D47" i="29"/>
  <c r="E47" i="29"/>
  <c r="F47" i="29"/>
  <c r="G47" i="29"/>
  <c r="H47" i="29"/>
  <c r="I47" i="29"/>
  <c r="J47" i="29"/>
  <c r="K47" i="29"/>
  <c r="L47" i="29"/>
  <c r="M47" i="29"/>
  <c r="N47" i="29"/>
  <c r="O47" i="29"/>
  <c r="P47" i="29"/>
  <c r="Q47" i="29"/>
  <c r="R47" i="29"/>
  <c r="S47" i="29"/>
  <c r="T47" i="29"/>
  <c r="U47" i="29"/>
  <c r="V47" i="29"/>
  <c r="W47" i="29"/>
  <c r="X47" i="29"/>
  <c r="A48" i="29"/>
  <c r="B48" i="29"/>
  <c r="C48" i="29"/>
  <c r="D48" i="29"/>
  <c r="E48" i="29"/>
  <c r="F48" i="29"/>
  <c r="G48" i="29"/>
  <c r="H48" i="29"/>
  <c r="I48" i="29"/>
  <c r="J48" i="29"/>
  <c r="K48" i="29"/>
  <c r="L48" i="29"/>
  <c r="M48" i="29"/>
  <c r="N48" i="29"/>
  <c r="O48" i="29"/>
  <c r="P48" i="29"/>
  <c r="Q48" i="29"/>
  <c r="R48" i="29"/>
  <c r="S48" i="29"/>
  <c r="T48" i="29"/>
  <c r="U48" i="29"/>
  <c r="V48" i="29"/>
  <c r="W48" i="29"/>
  <c r="X48" i="29"/>
  <c r="A49" i="29"/>
  <c r="B49" i="29"/>
  <c r="C49" i="29"/>
  <c r="D49" i="29"/>
  <c r="E49" i="29"/>
  <c r="F49" i="29"/>
  <c r="G49" i="29"/>
  <c r="H49" i="29"/>
  <c r="I49" i="29"/>
  <c r="J49" i="29"/>
  <c r="K49" i="29"/>
  <c r="L49" i="29"/>
  <c r="M49" i="29"/>
  <c r="N49" i="29"/>
  <c r="O49" i="29"/>
  <c r="P49" i="29"/>
  <c r="Q49" i="29"/>
  <c r="R49" i="29"/>
  <c r="S49" i="29"/>
  <c r="T49" i="29"/>
  <c r="U49" i="29"/>
  <c r="V49" i="29"/>
  <c r="W49" i="29"/>
  <c r="X49" i="29"/>
  <c r="A50" i="29"/>
  <c r="B50" i="29"/>
  <c r="C50" i="29"/>
  <c r="D50" i="29"/>
  <c r="E50" i="29"/>
  <c r="F50" i="29"/>
  <c r="G50" i="29"/>
  <c r="H50" i="29"/>
  <c r="I50" i="29"/>
  <c r="J50" i="29"/>
  <c r="K50" i="29"/>
  <c r="L50" i="29"/>
  <c r="M50" i="29"/>
  <c r="N50" i="29"/>
  <c r="O50" i="29"/>
  <c r="P50" i="29"/>
  <c r="Q50" i="29"/>
  <c r="R50" i="29"/>
  <c r="S50" i="29"/>
  <c r="T50" i="29"/>
  <c r="U50" i="29"/>
  <c r="V50" i="29"/>
  <c r="W50" i="29"/>
  <c r="X50" i="29"/>
  <c r="A51" i="29"/>
  <c r="B51" i="29"/>
  <c r="C51" i="29"/>
  <c r="D51" i="29"/>
  <c r="E51" i="29"/>
  <c r="F51" i="29"/>
  <c r="G51" i="29"/>
  <c r="H51" i="29"/>
  <c r="I51" i="29"/>
  <c r="J51" i="29"/>
  <c r="K51" i="29"/>
  <c r="L51" i="29"/>
  <c r="M51" i="29"/>
  <c r="N51" i="29"/>
  <c r="O51" i="29"/>
  <c r="P51" i="29"/>
  <c r="Q51" i="29"/>
  <c r="R51" i="29"/>
  <c r="S51" i="29"/>
  <c r="T51" i="29"/>
  <c r="U51" i="29"/>
  <c r="V51" i="29"/>
  <c r="W51" i="29"/>
  <c r="X51" i="29"/>
  <c r="A52" i="29"/>
  <c r="B52" i="29"/>
  <c r="C52" i="29"/>
  <c r="D52" i="29"/>
  <c r="E52" i="29"/>
  <c r="F52" i="29"/>
  <c r="G52" i="29"/>
  <c r="H52" i="29"/>
  <c r="I52" i="29"/>
  <c r="J52" i="29"/>
  <c r="K52" i="29"/>
  <c r="L52" i="29"/>
  <c r="M52" i="29"/>
  <c r="N52" i="29"/>
  <c r="O52" i="29"/>
  <c r="P52" i="29"/>
  <c r="Q52" i="29"/>
  <c r="R52" i="29"/>
  <c r="S52" i="29"/>
  <c r="T52" i="29"/>
  <c r="U52" i="29"/>
  <c r="V52" i="29"/>
  <c r="W52" i="29"/>
  <c r="X52" i="29"/>
  <c r="A53" i="29"/>
  <c r="B53" i="29"/>
  <c r="C53" i="29"/>
  <c r="D53" i="29"/>
  <c r="E53" i="29"/>
  <c r="F53" i="29"/>
  <c r="G53" i="29"/>
  <c r="H53" i="29"/>
  <c r="I53" i="29"/>
  <c r="J53" i="29"/>
  <c r="K53" i="29"/>
  <c r="L53" i="29"/>
  <c r="M53" i="29"/>
  <c r="N53" i="29"/>
  <c r="O53" i="29"/>
  <c r="P53" i="29"/>
  <c r="Q53" i="29"/>
  <c r="R53" i="29"/>
  <c r="S53" i="29"/>
  <c r="T53" i="29"/>
  <c r="U53" i="29"/>
  <c r="V53" i="29"/>
  <c r="W53" i="29"/>
  <c r="X53" i="29"/>
  <c r="A54" i="29"/>
  <c r="B54" i="29"/>
  <c r="C54" i="29"/>
  <c r="D54" i="29"/>
  <c r="E54" i="29"/>
  <c r="F54" i="29"/>
  <c r="G54" i="29"/>
  <c r="H54" i="29"/>
  <c r="I54" i="29"/>
  <c r="J54" i="29"/>
  <c r="K54" i="29"/>
  <c r="L54" i="29"/>
  <c r="M54" i="29"/>
  <c r="N54" i="29"/>
  <c r="O54" i="29"/>
  <c r="P54" i="29"/>
  <c r="Q54" i="29"/>
  <c r="R54" i="29"/>
  <c r="S54" i="29"/>
  <c r="T54" i="29"/>
  <c r="U54" i="29"/>
  <c r="V54" i="29"/>
  <c r="W54" i="29"/>
  <c r="X54" i="29"/>
  <c r="A55" i="29"/>
  <c r="B55" i="29"/>
  <c r="C55" i="29"/>
  <c r="D55" i="29"/>
  <c r="E55" i="29"/>
  <c r="F55" i="29"/>
  <c r="G55" i="29"/>
  <c r="H55" i="29"/>
  <c r="I55" i="29"/>
  <c r="J55" i="29"/>
  <c r="K55" i="29"/>
  <c r="L55" i="29"/>
  <c r="M55" i="29"/>
  <c r="N55" i="29"/>
  <c r="O55" i="29"/>
  <c r="P55" i="29"/>
  <c r="Q55" i="29"/>
  <c r="R55" i="29"/>
  <c r="S55" i="29"/>
  <c r="T55" i="29"/>
  <c r="U55" i="29"/>
  <c r="V55" i="29"/>
  <c r="W55" i="29"/>
  <c r="X55" i="29"/>
  <c r="A56" i="29"/>
  <c r="B56" i="29"/>
  <c r="C56" i="29"/>
  <c r="D56" i="29"/>
  <c r="E56" i="29"/>
  <c r="F56" i="29"/>
  <c r="G56" i="29"/>
  <c r="H56" i="29"/>
  <c r="I56" i="29"/>
  <c r="J56" i="29"/>
  <c r="K56" i="29"/>
  <c r="L56" i="29"/>
  <c r="M56" i="29"/>
  <c r="N56" i="29"/>
  <c r="O56" i="29"/>
  <c r="P56" i="29"/>
  <c r="Q56" i="29"/>
  <c r="R56" i="29"/>
  <c r="S56" i="29"/>
  <c r="T56" i="29"/>
  <c r="U56" i="29"/>
  <c r="V56" i="29"/>
  <c r="W56" i="29"/>
  <c r="X56" i="29"/>
  <c r="A57" i="29"/>
  <c r="B57" i="29"/>
  <c r="C57" i="29"/>
  <c r="D57" i="29"/>
  <c r="E57" i="29"/>
  <c r="F57" i="29"/>
  <c r="G57" i="29"/>
  <c r="H57" i="29"/>
  <c r="I57" i="29"/>
  <c r="J57" i="29"/>
  <c r="K57" i="29"/>
  <c r="L57" i="29"/>
  <c r="M57" i="29"/>
  <c r="N57" i="29"/>
  <c r="O57" i="29"/>
  <c r="P57" i="29"/>
  <c r="Q57" i="29"/>
  <c r="R57" i="29"/>
  <c r="S57" i="29"/>
  <c r="T57" i="29"/>
  <c r="U57" i="29"/>
  <c r="V57" i="29"/>
  <c r="W57" i="29"/>
  <c r="X57" i="29"/>
  <c r="A58" i="29"/>
  <c r="B58" i="29"/>
  <c r="C58" i="29"/>
  <c r="D58" i="29"/>
  <c r="E58" i="29"/>
  <c r="F58" i="29"/>
  <c r="G58" i="29"/>
  <c r="H58" i="29"/>
  <c r="I58" i="29"/>
  <c r="J58" i="29"/>
  <c r="K58" i="29"/>
  <c r="L58" i="29"/>
  <c r="M58" i="29"/>
  <c r="N58" i="29"/>
  <c r="O58" i="29"/>
  <c r="P58" i="29"/>
  <c r="Q58" i="29"/>
  <c r="R58" i="29"/>
  <c r="S58" i="29"/>
  <c r="T58" i="29"/>
  <c r="U58" i="29"/>
  <c r="V58" i="29"/>
  <c r="W58" i="29"/>
  <c r="X58" i="29"/>
  <c r="A59" i="29"/>
  <c r="B59" i="29"/>
  <c r="C59" i="29"/>
  <c r="D59" i="29"/>
  <c r="E59" i="29"/>
  <c r="F59" i="29"/>
  <c r="G59" i="29"/>
  <c r="H59" i="29"/>
  <c r="I59" i="29"/>
  <c r="J59" i="29"/>
  <c r="K59" i="29"/>
  <c r="L59" i="29"/>
  <c r="M59" i="29"/>
  <c r="N59" i="29"/>
  <c r="O59" i="29"/>
  <c r="P59" i="29"/>
  <c r="Q59" i="29"/>
  <c r="R59" i="29"/>
  <c r="S59" i="29"/>
  <c r="T59" i="29"/>
  <c r="U59" i="29"/>
  <c r="V59" i="29"/>
  <c r="W59" i="29"/>
  <c r="X59" i="29"/>
  <c r="A60" i="29"/>
  <c r="B60" i="29"/>
  <c r="C60" i="29"/>
  <c r="D60" i="29"/>
  <c r="E60" i="29"/>
  <c r="F60" i="29"/>
  <c r="G60" i="29"/>
  <c r="H60" i="29"/>
  <c r="I60" i="29"/>
  <c r="J60" i="29"/>
  <c r="K60" i="29"/>
  <c r="L60" i="29"/>
  <c r="M60" i="29"/>
  <c r="N60" i="29"/>
  <c r="O60" i="29"/>
  <c r="P60" i="29"/>
  <c r="Q60" i="29"/>
  <c r="R60" i="29"/>
  <c r="S60" i="29"/>
  <c r="T60" i="29"/>
  <c r="U60" i="29"/>
  <c r="V60" i="29"/>
  <c r="W60" i="29"/>
  <c r="X60" i="29"/>
  <c r="A61" i="29"/>
  <c r="B61" i="29"/>
  <c r="C61" i="29"/>
  <c r="D61" i="29"/>
  <c r="E61" i="29"/>
  <c r="F61" i="29"/>
  <c r="G61" i="29"/>
  <c r="H61" i="29"/>
  <c r="I61" i="29"/>
  <c r="J61" i="29"/>
  <c r="K61" i="29"/>
  <c r="L61" i="29"/>
  <c r="M61" i="29"/>
  <c r="N61" i="29"/>
  <c r="O61" i="29"/>
  <c r="P61" i="29"/>
  <c r="Q61" i="29"/>
  <c r="R61" i="29"/>
  <c r="S61" i="29"/>
  <c r="T61" i="29"/>
  <c r="U61" i="29"/>
  <c r="V61" i="29"/>
  <c r="W61" i="29"/>
  <c r="X61" i="29"/>
  <c r="A62" i="29"/>
  <c r="B62" i="29"/>
  <c r="C62" i="29"/>
  <c r="D62" i="29"/>
  <c r="E62" i="29"/>
  <c r="F62" i="29"/>
  <c r="G62" i="29"/>
  <c r="H62" i="29"/>
  <c r="I62" i="29"/>
  <c r="J62" i="29"/>
  <c r="K62" i="29"/>
  <c r="L62" i="29"/>
  <c r="M62" i="29"/>
  <c r="N62" i="29"/>
  <c r="O62" i="29"/>
  <c r="P62" i="29"/>
  <c r="Q62" i="29"/>
  <c r="R62" i="29"/>
  <c r="S62" i="29"/>
  <c r="T62" i="29"/>
  <c r="U62" i="29"/>
  <c r="V62" i="29"/>
  <c r="W62" i="29"/>
  <c r="X62" i="29"/>
  <c r="A63" i="29"/>
  <c r="B63" i="29"/>
  <c r="C63" i="29"/>
  <c r="D63" i="29"/>
  <c r="E63" i="29"/>
  <c r="F63" i="29"/>
  <c r="G63" i="29"/>
  <c r="H63" i="29"/>
  <c r="I63" i="29"/>
  <c r="J63" i="29"/>
  <c r="K63" i="29"/>
  <c r="L63" i="29"/>
  <c r="M63" i="29"/>
  <c r="N63" i="29"/>
  <c r="O63" i="29"/>
  <c r="P63" i="29"/>
  <c r="Q63" i="29"/>
  <c r="R63" i="29"/>
  <c r="S63" i="29"/>
  <c r="T63" i="29"/>
  <c r="U63" i="29"/>
  <c r="V63" i="29"/>
  <c r="W63" i="29"/>
  <c r="X63" i="29"/>
  <c r="A64" i="29"/>
  <c r="B64" i="29"/>
  <c r="C64" i="29"/>
  <c r="D64" i="29"/>
  <c r="E64" i="29"/>
  <c r="F64" i="29"/>
  <c r="G64" i="29"/>
  <c r="H64" i="29"/>
  <c r="I64" i="29"/>
  <c r="J64" i="29"/>
  <c r="K64" i="29"/>
  <c r="L64" i="29"/>
  <c r="M64" i="29"/>
  <c r="N64" i="29"/>
  <c r="O64" i="29"/>
  <c r="P64" i="29"/>
  <c r="Q64" i="29"/>
  <c r="R64" i="29"/>
  <c r="S64" i="29"/>
  <c r="T64" i="29"/>
  <c r="U64" i="29"/>
  <c r="V64" i="29"/>
  <c r="W64" i="29"/>
  <c r="X64" i="29"/>
  <c r="A65" i="29"/>
  <c r="B65" i="29"/>
  <c r="C65" i="29"/>
  <c r="D65" i="29"/>
  <c r="E65" i="29"/>
  <c r="F65" i="29"/>
  <c r="G65" i="29"/>
  <c r="H65" i="29"/>
  <c r="I65" i="29"/>
  <c r="J65" i="29"/>
  <c r="K65" i="29"/>
  <c r="L65" i="29"/>
  <c r="M65" i="29"/>
  <c r="N65" i="29"/>
  <c r="O65" i="29"/>
  <c r="P65" i="29"/>
  <c r="Q65" i="29"/>
  <c r="R65" i="29"/>
  <c r="S65" i="29"/>
  <c r="T65" i="29"/>
  <c r="U65" i="29"/>
  <c r="V65" i="29"/>
  <c r="W65" i="29"/>
  <c r="X65" i="29"/>
  <c r="A66" i="29"/>
  <c r="B66" i="29"/>
  <c r="C66" i="29"/>
  <c r="D66" i="29"/>
  <c r="E66" i="29"/>
  <c r="F66" i="29"/>
  <c r="G66" i="29"/>
  <c r="H66" i="29"/>
  <c r="I66" i="29"/>
  <c r="J66" i="29"/>
  <c r="K66" i="29"/>
  <c r="L66" i="29"/>
  <c r="M66" i="29"/>
  <c r="N66" i="29"/>
  <c r="O66" i="29"/>
  <c r="P66" i="29"/>
  <c r="Q66" i="29"/>
  <c r="R66" i="29"/>
  <c r="S66" i="29"/>
  <c r="T66" i="29"/>
  <c r="U66" i="29"/>
  <c r="V66" i="29"/>
  <c r="W66" i="29"/>
  <c r="X66" i="29"/>
  <c r="A67" i="29"/>
  <c r="B67" i="29"/>
  <c r="C67" i="29"/>
  <c r="D67" i="29"/>
  <c r="E67" i="29"/>
  <c r="F67" i="29"/>
  <c r="G67" i="29"/>
  <c r="H67" i="29"/>
  <c r="I67" i="29"/>
  <c r="J67" i="29"/>
  <c r="K67" i="29"/>
  <c r="L67" i="29"/>
  <c r="M67" i="29"/>
  <c r="N67" i="29"/>
  <c r="O67" i="29"/>
  <c r="P67" i="29"/>
  <c r="Q67" i="29"/>
  <c r="R67" i="29"/>
  <c r="S67" i="29"/>
  <c r="T67" i="29"/>
  <c r="U67" i="29"/>
  <c r="V67" i="29"/>
  <c r="W67" i="29"/>
  <c r="X67" i="29"/>
  <c r="A68" i="29"/>
  <c r="B68" i="29"/>
  <c r="C68" i="29"/>
  <c r="D68" i="29"/>
  <c r="E68" i="29"/>
  <c r="F68" i="29"/>
  <c r="G68" i="29"/>
  <c r="H68" i="29"/>
  <c r="I68" i="29"/>
  <c r="J68" i="29"/>
  <c r="K68" i="29"/>
  <c r="L68" i="29"/>
  <c r="M68" i="29"/>
  <c r="N68" i="29"/>
  <c r="O68" i="29"/>
  <c r="P68" i="29"/>
  <c r="Q68" i="29"/>
  <c r="R68" i="29"/>
  <c r="S68" i="29"/>
  <c r="T68" i="29"/>
  <c r="U68" i="29"/>
  <c r="V68" i="29"/>
  <c r="W68" i="29"/>
  <c r="X68" i="29"/>
  <c r="A69" i="29"/>
  <c r="B69" i="29"/>
  <c r="C69" i="29"/>
  <c r="D69" i="29"/>
  <c r="E69" i="29"/>
  <c r="F69" i="29"/>
  <c r="G69" i="29"/>
  <c r="H69" i="29"/>
  <c r="I69" i="29"/>
  <c r="J69" i="29"/>
  <c r="K69" i="29"/>
  <c r="L69" i="29"/>
  <c r="M69" i="29"/>
  <c r="N69" i="29"/>
  <c r="O69" i="29"/>
  <c r="P69" i="29"/>
  <c r="Q69" i="29"/>
  <c r="R69" i="29"/>
  <c r="S69" i="29"/>
  <c r="T69" i="29"/>
  <c r="U69" i="29"/>
  <c r="V69" i="29"/>
  <c r="W69" i="29"/>
  <c r="X69" i="29"/>
  <c r="A70" i="29"/>
  <c r="B70" i="29"/>
  <c r="C70" i="29"/>
  <c r="D70" i="29"/>
  <c r="E70" i="29"/>
  <c r="F70" i="29"/>
  <c r="G70" i="29"/>
  <c r="H70" i="29"/>
  <c r="I70" i="29"/>
  <c r="J70" i="29"/>
  <c r="K70" i="29"/>
  <c r="L70" i="29"/>
  <c r="M70" i="29"/>
  <c r="N70" i="29"/>
  <c r="O70" i="29"/>
  <c r="P70" i="29"/>
  <c r="Q70" i="29"/>
  <c r="R70" i="29"/>
  <c r="S70" i="29"/>
  <c r="T70" i="29"/>
  <c r="U70" i="29"/>
  <c r="V70" i="29"/>
  <c r="W70" i="29"/>
  <c r="X70" i="29"/>
  <c r="A71" i="29"/>
  <c r="B71" i="29"/>
  <c r="C71" i="29"/>
  <c r="D71" i="29"/>
  <c r="E71" i="29"/>
  <c r="F71" i="29"/>
  <c r="G71" i="29"/>
  <c r="H71" i="29"/>
  <c r="I71" i="29"/>
  <c r="J71" i="29"/>
  <c r="K71" i="29"/>
  <c r="L71" i="29"/>
  <c r="M71" i="29"/>
  <c r="N71" i="29"/>
  <c r="O71" i="29"/>
  <c r="P71" i="29"/>
  <c r="Q71" i="29"/>
  <c r="R71" i="29"/>
  <c r="S71" i="29"/>
  <c r="T71" i="29"/>
  <c r="U71" i="29"/>
  <c r="V71" i="29"/>
  <c r="W71" i="29"/>
  <c r="X71" i="29"/>
  <c r="A72" i="29"/>
  <c r="B72" i="29"/>
  <c r="C72" i="29"/>
  <c r="D72" i="29"/>
  <c r="E72" i="29"/>
  <c r="F72" i="29"/>
  <c r="G72" i="29"/>
  <c r="H72" i="29"/>
  <c r="I72" i="29"/>
  <c r="J72" i="29"/>
  <c r="K72" i="29"/>
  <c r="L72" i="29"/>
  <c r="M72" i="29"/>
  <c r="N72" i="29"/>
  <c r="O72" i="29"/>
  <c r="P72" i="29"/>
  <c r="Q72" i="29"/>
  <c r="R72" i="29"/>
  <c r="S72" i="29"/>
  <c r="T72" i="29"/>
  <c r="U72" i="29"/>
  <c r="V72" i="29"/>
  <c r="W72" i="29"/>
  <c r="X72" i="29"/>
  <c r="A73" i="29"/>
  <c r="B73" i="29"/>
  <c r="C73" i="29"/>
  <c r="D73" i="29"/>
  <c r="E73" i="29"/>
  <c r="F73" i="29"/>
  <c r="G73" i="29"/>
  <c r="H73" i="29"/>
  <c r="I73" i="29"/>
  <c r="J73" i="29"/>
  <c r="K73" i="29"/>
  <c r="L73" i="29"/>
  <c r="M73" i="29"/>
  <c r="N73" i="29"/>
  <c r="O73" i="29"/>
  <c r="P73" i="29"/>
  <c r="Q73" i="29"/>
  <c r="R73" i="29"/>
  <c r="S73" i="29"/>
  <c r="T73" i="29"/>
  <c r="U73" i="29"/>
  <c r="V73" i="29"/>
  <c r="W73" i="29"/>
  <c r="X73" i="29"/>
  <c r="A74" i="29"/>
  <c r="B74" i="29"/>
  <c r="C74" i="29"/>
  <c r="D74" i="29"/>
  <c r="E74" i="29"/>
  <c r="F74" i="29"/>
  <c r="G74" i="29"/>
  <c r="H74" i="29"/>
  <c r="I74" i="29"/>
  <c r="J74" i="29"/>
  <c r="K74" i="29"/>
  <c r="L74" i="29"/>
  <c r="M74" i="29"/>
  <c r="N74" i="29"/>
  <c r="O74" i="29"/>
  <c r="P74" i="29"/>
  <c r="Q74" i="29"/>
  <c r="R74" i="29"/>
  <c r="S74" i="29"/>
  <c r="T74" i="29"/>
  <c r="U74" i="29"/>
  <c r="V74" i="29"/>
  <c r="W74" i="29"/>
  <c r="X74" i="29"/>
  <c r="A75" i="29"/>
  <c r="B75" i="29"/>
  <c r="C75" i="29"/>
  <c r="D75" i="29"/>
  <c r="E75" i="29"/>
  <c r="F75" i="29"/>
  <c r="G75" i="29"/>
  <c r="H75" i="29"/>
  <c r="I75" i="29"/>
  <c r="J75" i="29"/>
  <c r="K75" i="29"/>
  <c r="L75" i="29"/>
  <c r="M75" i="29"/>
  <c r="N75" i="29"/>
  <c r="O75" i="29"/>
  <c r="P75" i="29"/>
  <c r="Q75" i="29"/>
  <c r="R75" i="29"/>
  <c r="S75" i="29"/>
  <c r="T75" i="29"/>
  <c r="U75" i="29"/>
  <c r="V75" i="29"/>
  <c r="W75" i="29"/>
  <c r="X75" i="29"/>
  <c r="A76" i="29"/>
  <c r="B76" i="29"/>
  <c r="C76" i="29"/>
  <c r="D76" i="29"/>
  <c r="E76" i="29"/>
  <c r="F76" i="29"/>
  <c r="G76" i="29"/>
  <c r="H76" i="29"/>
  <c r="I76" i="29"/>
  <c r="J76" i="29"/>
  <c r="K76" i="29"/>
  <c r="L76" i="29"/>
  <c r="M76" i="29"/>
  <c r="N76" i="29"/>
  <c r="O76" i="29"/>
  <c r="P76" i="29"/>
  <c r="Q76" i="29"/>
  <c r="R76" i="29"/>
  <c r="S76" i="29"/>
  <c r="T76" i="29"/>
  <c r="U76" i="29"/>
  <c r="V76" i="29"/>
  <c r="W76" i="29"/>
  <c r="X76" i="29"/>
  <c r="A77" i="29"/>
  <c r="B77" i="29"/>
  <c r="C77" i="29"/>
  <c r="D77" i="29"/>
  <c r="E77" i="29"/>
  <c r="F77" i="29"/>
  <c r="G77" i="29"/>
  <c r="H77" i="29"/>
  <c r="I77" i="29"/>
  <c r="J77" i="29"/>
  <c r="K77" i="29"/>
  <c r="L77" i="29"/>
  <c r="M77" i="29"/>
  <c r="N77" i="29"/>
  <c r="O77" i="29"/>
  <c r="P77" i="29"/>
  <c r="Q77" i="29"/>
  <c r="R77" i="29"/>
  <c r="S77" i="29"/>
  <c r="T77" i="29"/>
  <c r="U77" i="29"/>
  <c r="V77" i="29"/>
  <c r="W77" i="29"/>
  <c r="X77" i="29"/>
  <c r="A78" i="29"/>
  <c r="B78" i="29"/>
  <c r="C78" i="29"/>
  <c r="D78" i="29"/>
  <c r="E78" i="29"/>
  <c r="F78" i="29"/>
  <c r="G78" i="29"/>
  <c r="H78" i="29"/>
  <c r="I78" i="29"/>
  <c r="J78" i="29"/>
  <c r="K78" i="29"/>
  <c r="L78" i="29"/>
  <c r="M78" i="29"/>
  <c r="N78" i="29"/>
  <c r="O78" i="29"/>
  <c r="P78" i="29"/>
  <c r="Q78" i="29"/>
  <c r="R78" i="29"/>
  <c r="S78" i="29"/>
  <c r="T78" i="29"/>
  <c r="U78" i="29"/>
  <c r="V78" i="29"/>
  <c r="W78" i="29"/>
  <c r="X78" i="29"/>
  <c r="A79" i="29"/>
  <c r="B79" i="29"/>
  <c r="C79" i="29"/>
  <c r="D79" i="29"/>
  <c r="E79" i="29"/>
  <c r="F79" i="29"/>
  <c r="G79" i="29"/>
  <c r="H79" i="29"/>
  <c r="I79" i="29"/>
  <c r="J79" i="29"/>
  <c r="K79" i="29"/>
  <c r="L79" i="29"/>
  <c r="M79" i="29"/>
  <c r="N79" i="29"/>
  <c r="O79" i="29"/>
  <c r="P79" i="29"/>
  <c r="Q79" i="29"/>
  <c r="R79" i="29"/>
  <c r="S79" i="29"/>
  <c r="T79" i="29"/>
  <c r="U79" i="29"/>
  <c r="V79" i="29"/>
  <c r="W79" i="29"/>
  <c r="X79" i="29"/>
  <c r="A80" i="29"/>
  <c r="B80" i="29"/>
  <c r="C80" i="29"/>
  <c r="D80" i="29"/>
  <c r="E80" i="29"/>
  <c r="F80" i="29"/>
  <c r="G80" i="29"/>
  <c r="H80" i="29"/>
  <c r="I80" i="29"/>
  <c r="J80" i="29"/>
  <c r="K80" i="29"/>
  <c r="L80" i="29"/>
  <c r="M80" i="29"/>
  <c r="N80" i="29"/>
  <c r="O80" i="29"/>
  <c r="P80" i="29"/>
  <c r="Q80" i="29"/>
  <c r="R80" i="29"/>
  <c r="S80" i="29"/>
  <c r="T80" i="29"/>
  <c r="U80" i="29"/>
  <c r="V80" i="29"/>
  <c r="W80" i="29"/>
  <c r="X80" i="29"/>
  <c r="A81" i="29"/>
  <c r="B81" i="29"/>
  <c r="C81" i="29"/>
  <c r="D81" i="29"/>
  <c r="E81" i="29"/>
  <c r="F81" i="29"/>
  <c r="G81" i="29"/>
  <c r="H81" i="29"/>
  <c r="I81" i="29"/>
  <c r="J81" i="29"/>
  <c r="K81" i="29"/>
  <c r="L81" i="29"/>
  <c r="M81" i="29"/>
  <c r="N81" i="29"/>
  <c r="O81" i="29"/>
  <c r="P81" i="29"/>
  <c r="Q81" i="29"/>
  <c r="R81" i="29"/>
  <c r="S81" i="29"/>
  <c r="T81" i="29"/>
  <c r="U81" i="29"/>
  <c r="V81" i="29"/>
  <c r="W81" i="29"/>
  <c r="X81" i="29"/>
  <c r="A82" i="29"/>
  <c r="B82" i="29"/>
  <c r="C82" i="29"/>
  <c r="D82" i="29"/>
  <c r="E82" i="29"/>
  <c r="F82" i="29"/>
  <c r="G82" i="29"/>
  <c r="H82" i="29"/>
  <c r="I82" i="29"/>
  <c r="J82" i="29"/>
  <c r="K82" i="29"/>
  <c r="L82" i="29"/>
  <c r="M82" i="29"/>
  <c r="N82" i="29"/>
  <c r="O82" i="29"/>
  <c r="P82" i="29"/>
  <c r="Q82" i="29"/>
  <c r="R82" i="29"/>
  <c r="S82" i="29"/>
  <c r="T82" i="29"/>
  <c r="U82" i="29"/>
  <c r="V82" i="29"/>
  <c r="W82" i="29"/>
  <c r="X82" i="29"/>
  <c r="A83" i="29"/>
  <c r="B83" i="29"/>
  <c r="C83" i="29"/>
  <c r="D83" i="29"/>
  <c r="E83" i="29"/>
  <c r="F83" i="29"/>
  <c r="G83" i="29"/>
  <c r="H83" i="29"/>
  <c r="I83" i="29"/>
  <c r="J83" i="29"/>
  <c r="K83" i="29"/>
  <c r="L83" i="29"/>
  <c r="M83" i="29"/>
  <c r="N83" i="29"/>
  <c r="O83" i="29"/>
  <c r="P83" i="29"/>
  <c r="Q83" i="29"/>
  <c r="R83" i="29"/>
  <c r="S83" i="29"/>
  <c r="T83" i="29"/>
  <c r="U83" i="29"/>
  <c r="V83" i="29"/>
  <c r="W83" i="29"/>
  <c r="X83" i="29"/>
  <c r="A84" i="29"/>
  <c r="B84" i="29"/>
  <c r="C84" i="29"/>
  <c r="D84" i="29"/>
  <c r="E84" i="29"/>
  <c r="F84" i="29"/>
  <c r="G84" i="29"/>
  <c r="H84" i="29"/>
  <c r="I84" i="29"/>
  <c r="J84" i="29"/>
  <c r="K84" i="29"/>
  <c r="L84" i="29"/>
  <c r="M84" i="29"/>
  <c r="N84" i="29"/>
  <c r="O84" i="29"/>
  <c r="P84" i="29"/>
  <c r="Q84" i="29"/>
  <c r="R84" i="29"/>
  <c r="S84" i="29"/>
  <c r="T84" i="29"/>
  <c r="U84" i="29"/>
  <c r="V84" i="29"/>
  <c r="W84" i="29"/>
  <c r="X84" i="29"/>
  <c r="A85" i="29"/>
  <c r="B85" i="29"/>
  <c r="C85" i="29"/>
  <c r="D85" i="29"/>
  <c r="E85" i="29"/>
  <c r="F85" i="29"/>
  <c r="G85" i="29"/>
  <c r="H85" i="29"/>
  <c r="I85" i="29"/>
  <c r="J85" i="29"/>
  <c r="K85" i="29"/>
  <c r="L85" i="29"/>
  <c r="M85" i="29"/>
  <c r="N85" i="29"/>
  <c r="O85" i="29"/>
  <c r="P85" i="29"/>
  <c r="Q85" i="29"/>
  <c r="R85" i="29"/>
  <c r="S85" i="29"/>
  <c r="T85" i="29"/>
  <c r="U85" i="29"/>
  <c r="V85" i="29"/>
  <c r="W85" i="29"/>
  <c r="X85" i="29"/>
  <c r="A86" i="29"/>
  <c r="B86" i="29"/>
  <c r="C86" i="29"/>
  <c r="D86" i="29"/>
  <c r="E86" i="29"/>
  <c r="F86" i="29"/>
  <c r="G86" i="29"/>
  <c r="H86" i="29"/>
  <c r="I86" i="29"/>
  <c r="J86" i="29"/>
  <c r="K86" i="29"/>
  <c r="L86" i="29"/>
  <c r="M86" i="29"/>
  <c r="N86" i="29"/>
  <c r="O86" i="29"/>
  <c r="P86" i="29"/>
  <c r="Q86" i="29"/>
  <c r="R86" i="29"/>
  <c r="S86" i="29"/>
  <c r="T86" i="29"/>
  <c r="U86" i="29"/>
  <c r="V86" i="29"/>
  <c r="W86" i="29"/>
  <c r="X86" i="29"/>
  <c r="A87" i="29"/>
  <c r="B87" i="29"/>
  <c r="C87" i="29"/>
  <c r="D87" i="29"/>
  <c r="E87" i="29"/>
  <c r="F87" i="29"/>
  <c r="G87" i="29"/>
  <c r="H87" i="29"/>
  <c r="I87" i="29"/>
  <c r="J87" i="29"/>
  <c r="K87" i="29"/>
  <c r="L87" i="29"/>
  <c r="M87" i="29"/>
  <c r="N87" i="29"/>
  <c r="O87" i="29"/>
  <c r="P87" i="29"/>
  <c r="Q87" i="29"/>
  <c r="R87" i="29"/>
  <c r="S87" i="29"/>
  <c r="T87" i="29"/>
  <c r="U87" i="29"/>
  <c r="V87" i="29"/>
  <c r="W87" i="29"/>
  <c r="X87" i="29"/>
  <c r="A88" i="29"/>
  <c r="B88" i="29"/>
  <c r="C88" i="29"/>
  <c r="D88" i="29"/>
  <c r="E88" i="29"/>
  <c r="F88" i="29"/>
  <c r="G88" i="29"/>
  <c r="H88" i="29"/>
  <c r="I88" i="29"/>
  <c r="J88" i="29"/>
  <c r="K88" i="29"/>
  <c r="L88" i="29"/>
  <c r="M88" i="29"/>
  <c r="N88" i="29"/>
  <c r="O88" i="29"/>
  <c r="P88" i="29"/>
  <c r="Q88" i="29"/>
  <c r="R88" i="29"/>
  <c r="S88" i="29"/>
  <c r="T88" i="29"/>
  <c r="U88" i="29"/>
  <c r="V88" i="29"/>
  <c r="W88" i="29"/>
  <c r="X88" i="29"/>
  <c r="A89" i="29"/>
  <c r="B89" i="29"/>
  <c r="C89" i="29"/>
  <c r="D89" i="29"/>
  <c r="E89" i="29"/>
  <c r="F89" i="29"/>
  <c r="G89" i="29"/>
  <c r="H89" i="29"/>
  <c r="I89" i="29"/>
  <c r="J89" i="29"/>
  <c r="K89" i="29"/>
  <c r="L89" i="29"/>
  <c r="M89" i="29"/>
  <c r="N89" i="29"/>
  <c r="O89" i="29"/>
  <c r="P89" i="29"/>
  <c r="Q89" i="29"/>
  <c r="R89" i="29"/>
  <c r="S89" i="29"/>
  <c r="T89" i="29"/>
  <c r="U89" i="29"/>
  <c r="V89" i="29"/>
  <c r="W89" i="29"/>
  <c r="X89" i="29"/>
  <c r="A90" i="29"/>
  <c r="B90" i="29"/>
  <c r="C90" i="29"/>
  <c r="D90" i="29"/>
  <c r="E90" i="29"/>
  <c r="F90" i="29"/>
  <c r="G90" i="29"/>
  <c r="H90" i="29"/>
  <c r="I90" i="29"/>
  <c r="J90" i="29"/>
  <c r="K90" i="29"/>
  <c r="L90" i="29"/>
  <c r="M90" i="29"/>
  <c r="N90" i="29"/>
  <c r="O90" i="29"/>
  <c r="P90" i="29"/>
  <c r="Q90" i="29"/>
  <c r="R90" i="29"/>
  <c r="S90" i="29"/>
  <c r="T90" i="29"/>
  <c r="U90" i="29"/>
  <c r="V90" i="29"/>
  <c r="W90" i="29"/>
  <c r="X90" i="29"/>
  <c r="A91" i="29"/>
  <c r="B91" i="29"/>
  <c r="C91" i="29"/>
  <c r="D91" i="29"/>
  <c r="E91" i="29"/>
  <c r="F91" i="29"/>
  <c r="G91" i="29"/>
  <c r="H91" i="29"/>
  <c r="I91" i="29"/>
  <c r="J91" i="29"/>
  <c r="K91" i="29"/>
  <c r="L91" i="29"/>
  <c r="M91" i="29"/>
  <c r="N91" i="29"/>
  <c r="O91" i="29"/>
  <c r="P91" i="29"/>
  <c r="Q91" i="29"/>
  <c r="R91" i="29"/>
  <c r="S91" i="29"/>
  <c r="T91" i="29"/>
  <c r="U91" i="29"/>
  <c r="V91" i="29"/>
  <c r="W91" i="29"/>
  <c r="X91" i="29"/>
  <c r="A92" i="29"/>
  <c r="B92" i="29"/>
  <c r="C92" i="29"/>
  <c r="D92" i="29"/>
  <c r="E92" i="29"/>
  <c r="F92" i="29"/>
  <c r="G92" i="29"/>
  <c r="H92" i="29"/>
  <c r="I92" i="29"/>
  <c r="J92" i="29"/>
  <c r="K92" i="29"/>
  <c r="L92" i="29"/>
  <c r="M92" i="29"/>
  <c r="N92" i="29"/>
  <c r="O92" i="29"/>
  <c r="P92" i="29"/>
  <c r="Q92" i="29"/>
  <c r="R92" i="29"/>
  <c r="S92" i="29"/>
  <c r="T92" i="29"/>
  <c r="U92" i="29"/>
  <c r="V92" i="29"/>
  <c r="W92" i="29"/>
  <c r="X92" i="29"/>
  <c r="A93" i="29"/>
  <c r="B93" i="29"/>
  <c r="C93" i="29"/>
  <c r="D93" i="29"/>
  <c r="E93" i="29"/>
  <c r="F93" i="29"/>
  <c r="G93" i="29"/>
  <c r="H93" i="29"/>
  <c r="I93" i="29"/>
  <c r="J93" i="29"/>
  <c r="K93" i="29"/>
  <c r="L93" i="29"/>
  <c r="M93" i="29"/>
  <c r="N93" i="29"/>
  <c r="O93" i="29"/>
  <c r="P93" i="29"/>
  <c r="Q93" i="29"/>
  <c r="R93" i="29"/>
  <c r="S93" i="29"/>
  <c r="T93" i="29"/>
  <c r="U93" i="29"/>
  <c r="V93" i="29"/>
  <c r="W93" i="29"/>
  <c r="X93" i="29"/>
  <c r="A94" i="29"/>
  <c r="B94" i="29"/>
  <c r="C94" i="29"/>
  <c r="D94" i="29"/>
  <c r="E94" i="29"/>
  <c r="F94" i="29"/>
  <c r="G94" i="29"/>
  <c r="H94" i="29"/>
  <c r="I94" i="29"/>
  <c r="J94" i="29"/>
  <c r="K94" i="29"/>
  <c r="L94" i="29"/>
  <c r="M94" i="29"/>
  <c r="N94" i="29"/>
  <c r="O94" i="29"/>
  <c r="P94" i="29"/>
  <c r="Q94" i="29"/>
  <c r="R94" i="29"/>
  <c r="S94" i="29"/>
  <c r="T94" i="29"/>
  <c r="U94" i="29"/>
  <c r="V94" i="29"/>
  <c r="W94" i="29"/>
  <c r="X94" i="29"/>
  <c r="A95" i="29"/>
  <c r="B95" i="29"/>
  <c r="C95" i="29"/>
  <c r="D95" i="29"/>
  <c r="E95" i="29"/>
  <c r="F95" i="29"/>
  <c r="G95" i="29"/>
  <c r="H95" i="29"/>
  <c r="I95" i="29"/>
  <c r="J95" i="29"/>
  <c r="K95" i="29"/>
  <c r="L95" i="29"/>
  <c r="M95" i="29"/>
  <c r="N95" i="29"/>
  <c r="O95" i="29"/>
  <c r="P95" i="29"/>
  <c r="Q95" i="29"/>
  <c r="R95" i="29"/>
  <c r="S95" i="29"/>
  <c r="T95" i="29"/>
  <c r="U95" i="29"/>
  <c r="V95" i="29"/>
  <c r="W95" i="29"/>
  <c r="X95" i="29"/>
  <c r="A96" i="29"/>
  <c r="B96" i="29"/>
  <c r="C96" i="29"/>
  <c r="D96" i="29"/>
  <c r="E96" i="29"/>
  <c r="F96" i="29"/>
  <c r="G96" i="29"/>
  <c r="H96" i="29"/>
  <c r="I96" i="29"/>
  <c r="J96" i="29"/>
  <c r="K96" i="29"/>
  <c r="L96" i="29"/>
  <c r="M96" i="29"/>
  <c r="N96" i="29"/>
  <c r="O96" i="29"/>
  <c r="P96" i="29"/>
  <c r="Q96" i="29"/>
  <c r="R96" i="29"/>
  <c r="S96" i="29"/>
  <c r="T96" i="29"/>
  <c r="U96" i="29"/>
  <c r="V96" i="29"/>
  <c r="W96" i="29"/>
  <c r="X96" i="29"/>
  <c r="A97" i="29"/>
  <c r="B97" i="29"/>
  <c r="C97" i="29"/>
  <c r="D97" i="29"/>
  <c r="E97" i="29"/>
  <c r="F97" i="29"/>
  <c r="G97" i="29"/>
  <c r="H97" i="29"/>
  <c r="I97" i="29"/>
  <c r="J97" i="29"/>
  <c r="K97" i="29"/>
  <c r="L97" i="29"/>
  <c r="M97" i="29"/>
  <c r="N97" i="29"/>
  <c r="O97" i="29"/>
  <c r="P97" i="29"/>
  <c r="Q97" i="29"/>
  <c r="R97" i="29"/>
  <c r="S97" i="29"/>
  <c r="T97" i="29"/>
  <c r="U97" i="29"/>
  <c r="V97" i="29"/>
  <c r="W97" i="29"/>
  <c r="X97" i="29"/>
  <c r="A98" i="29"/>
  <c r="B98" i="29"/>
  <c r="C98" i="29"/>
  <c r="D98" i="29"/>
  <c r="E98" i="29"/>
  <c r="F98" i="29"/>
  <c r="G98" i="29"/>
  <c r="H98" i="29"/>
  <c r="I98" i="29"/>
  <c r="J98" i="29"/>
  <c r="K98" i="29"/>
  <c r="L98" i="29"/>
  <c r="M98" i="29"/>
  <c r="N98" i="29"/>
  <c r="O98" i="29"/>
  <c r="P98" i="29"/>
  <c r="Q98" i="29"/>
  <c r="R98" i="29"/>
  <c r="S98" i="29"/>
  <c r="T98" i="29"/>
  <c r="U98" i="29"/>
  <c r="V98" i="29"/>
  <c r="W98" i="29"/>
  <c r="X98" i="29"/>
  <c r="A99" i="29"/>
  <c r="B99" i="29"/>
  <c r="C99" i="29"/>
  <c r="D99" i="29"/>
  <c r="E99" i="29"/>
  <c r="F99" i="29"/>
  <c r="G99" i="29"/>
  <c r="H99" i="29"/>
  <c r="I99" i="29"/>
  <c r="J99" i="29"/>
  <c r="K99" i="29"/>
  <c r="L99" i="29"/>
  <c r="M99" i="29"/>
  <c r="N99" i="29"/>
  <c r="O99" i="29"/>
  <c r="P99" i="29"/>
  <c r="Q99" i="29"/>
  <c r="R99" i="29"/>
  <c r="S99" i="29"/>
  <c r="T99" i="29"/>
  <c r="U99" i="29"/>
  <c r="V99" i="29"/>
  <c r="W99" i="29"/>
  <c r="X99" i="29"/>
  <c r="A100" i="29"/>
  <c r="B100" i="29"/>
  <c r="C100" i="29"/>
  <c r="D100" i="29"/>
  <c r="E100" i="29"/>
  <c r="F100" i="29"/>
  <c r="G100" i="29"/>
  <c r="H100" i="29"/>
  <c r="I100" i="29"/>
  <c r="J100" i="29"/>
  <c r="K100" i="29"/>
  <c r="L100" i="29"/>
  <c r="M100" i="29"/>
  <c r="N100" i="29"/>
  <c r="O100" i="29"/>
  <c r="P100" i="29"/>
  <c r="Q100" i="29"/>
  <c r="R100" i="29"/>
  <c r="S100" i="29"/>
  <c r="T100" i="29"/>
  <c r="U100" i="29"/>
  <c r="V100" i="29"/>
  <c r="W100" i="29"/>
  <c r="X100" i="29"/>
  <c r="C31" i="16"/>
  <c r="C30" i="16"/>
  <c r="C29" i="16"/>
  <c r="C28" i="16"/>
  <c r="C27" i="16"/>
  <c r="C26" i="16"/>
  <c r="C25" i="16"/>
  <c r="I2" i="13"/>
  <c r="J2" i="13"/>
  <c r="K2" i="13" s="1"/>
  <c r="I3" i="13"/>
  <c r="J3" i="13"/>
  <c r="K3" i="13" s="1"/>
  <c r="I4" i="13"/>
  <c r="J4" i="13"/>
  <c r="K4" i="13" s="1"/>
  <c r="L4" i="13" s="1"/>
  <c r="I5" i="13"/>
  <c r="J5" i="13"/>
  <c r="K5" i="13" s="1"/>
  <c r="I6" i="13"/>
  <c r="J6" i="13"/>
  <c r="K6" i="13" s="1"/>
  <c r="I7" i="13"/>
  <c r="J7" i="13"/>
  <c r="K7" i="13" s="1"/>
  <c r="L7" i="13" s="1"/>
  <c r="I8" i="13"/>
  <c r="J8" i="13"/>
  <c r="K8" i="13" s="1"/>
  <c r="L8" i="13" s="1"/>
  <c r="I9" i="13"/>
  <c r="J9" i="13"/>
  <c r="K9" i="13" s="1"/>
  <c r="I10" i="13"/>
  <c r="J10" i="13"/>
  <c r="K10" i="13" s="1"/>
  <c r="I11" i="13"/>
  <c r="J11" i="13"/>
  <c r="K11" i="13" s="1"/>
  <c r="I12" i="13"/>
  <c r="J12" i="13"/>
  <c r="K12" i="13" s="1"/>
  <c r="L12" i="13" s="1"/>
  <c r="I13" i="13"/>
  <c r="J13" i="13"/>
  <c r="K13" i="13" s="1"/>
  <c r="L13" i="13" s="1"/>
  <c r="I14" i="13"/>
  <c r="J14" i="13"/>
  <c r="K14" i="13" s="1"/>
  <c r="I15" i="13"/>
  <c r="J15" i="13"/>
  <c r="K15" i="13" s="1"/>
  <c r="I16" i="13"/>
  <c r="J16" i="13"/>
  <c r="K16" i="13" s="1"/>
  <c r="I17" i="13"/>
  <c r="J17" i="13"/>
  <c r="K17" i="13" s="1"/>
  <c r="I18" i="13"/>
  <c r="J18" i="13"/>
  <c r="K18" i="13" s="1"/>
  <c r="I19" i="13"/>
  <c r="J19" i="13"/>
  <c r="K19" i="13" s="1"/>
  <c r="I20" i="13"/>
  <c r="J20" i="13"/>
  <c r="K20" i="13" s="1"/>
  <c r="I21" i="13"/>
  <c r="J21" i="13"/>
  <c r="K21" i="13" s="1"/>
  <c r="I22" i="13"/>
  <c r="J22" i="13"/>
  <c r="K22" i="13" s="1"/>
  <c r="I23" i="13"/>
  <c r="J23" i="13"/>
  <c r="K23" i="13" s="1"/>
  <c r="I24" i="13"/>
  <c r="J24" i="13"/>
  <c r="K24" i="13" s="1"/>
  <c r="I25" i="13"/>
  <c r="J25" i="13"/>
  <c r="K25" i="13" s="1"/>
  <c r="I26" i="13"/>
  <c r="J26" i="13"/>
  <c r="K26" i="13" s="1"/>
  <c r="I27" i="13"/>
  <c r="J27" i="13"/>
  <c r="K27" i="13" s="1"/>
  <c r="I28" i="13"/>
  <c r="J28" i="13"/>
  <c r="K28" i="13" s="1"/>
  <c r="L28" i="13" s="1"/>
  <c r="J1" i="13"/>
  <c r="K1" i="13" s="1"/>
  <c r="I1" i="13"/>
  <c r="A1" i="30"/>
  <c r="B1" i="30"/>
  <c r="C1" i="30"/>
  <c r="D1" i="30"/>
  <c r="E1" i="30"/>
  <c r="F1" i="30"/>
  <c r="G1" i="30"/>
  <c r="L1" i="30"/>
  <c r="A3" i="30"/>
  <c r="B3" i="30"/>
  <c r="C3" i="30"/>
  <c r="D3" i="30"/>
  <c r="E3" i="30"/>
  <c r="F3" i="30"/>
  <c r="G3" i="30"/>
  <c r="L3" i="30"/>
  <c r="A4" i="30"/>
  <c r="B4" i="30"/>
  <c r="C4" i="30"/>
  <c r="D4" i="30"/>
  <c r="E4" i="30"/>
  <c r="F4" i="30"/>
  <c r="G4" i="30"/>
  <c r="L4" i="30"/>
  <c r="A5" i="30"/>
  <c r="B5" i="30"/>
  <c r="C5" i="30"/>
  <c r="D5" i="30"/>
  <c r="E5" i="30"/>
  <c r="F5" i="30"/>
  <c r="G5" i="30"/>
  <c r="L5" i="30"/>
  <c r="A6" i="30"/>
  <c r="B6" i="30"/>
  <c r="C6" i="30"/>
  <c r="D6" i="30"/>
  <c r="F6" i="30"/>
  <c r="G6" i="30"/>
  <c r="L6" i="30"/>
  <c r="A7" i="30"/>
  <c r="B7" i="30"/>
  <c r="C7" i="30"/>
  <c r="D7" i="30"/>
  <c r="F7" i="30"/>
  <c r="E7" i="30"/>
  <c r="E6" i="30"/>
  <c r="E1" i="28"/>
  <c r="F1" i="28"/>
  <c r="G1" i="28"/>
  <c r="H1" i="28"/>
  <c r="E2" i="28"/>
  <c r="F2" i="28"/>
  <c r="G2" i="28"/>
  <c r="H2" i="28"/>
  <c r="E3" i="28"/>
  <c r="F3" i="28"/>
  <c r="G3" i="28"/>
  <c r="H3" i="28"/>
  <c r="E4" i="28"/>
  <c r="F4" i="28"/>
  <c r="G4" i="28"/>
  <c r="H4" i="28"/>
  <c r="E5" i="28"/>
  <c r="F5" i="28"/>
  <c r="G5" i="28"/>
  <c r="H5" i="28"/>
  <c r="E6" i="28"/>
  <c r="F6" i="28"/>
  <c r="G6" i="28"/>
  <c r="H6" i="28"/>
  <c r="E7" i="28"/>
  <c r="G7" i="28"/>
  <c r="H7" i="28"/>
  <c r="E8" i="28"/>
  <c r="H8" i="28"/>
  <c r="E9" i="28"/>
  <c r="F9" i="28"/>
  <c r="H9" i="28"/>
  <c r="E10" i="28"/>
  <c r="H10" i="28"/>
  <c r="E11" i="28"/>
  <c r="G11" i="28"/>
  <c r="H11" i="28"/>
  <c r="E12" i="28"/>
  <c r="H12" i="28"/>
  <c r="E13" i="28"/>
  <c r="H13" i="28"/>
  <c r="E14" i="28"/>
  <c r="F14" i="28"/>
  <c r="G14" i="28"/>
  <c r="H14" i="28"/>
  <c r="E15" i="28"/>
  <c r="F15" i="28"/>
  <c r="G15" i="28"/>
  <c r="H15" i="28"/>
  <c r="E16" i="28"/>
  <c r="F16" i="28"/>
  <c r="G16" i="28"/>
  <c r="H16" i="28"/>
  <c r="E17" i="28"/>
  <c r="F17" i="28"/>
  <c r="G17" i="28"/>
  <c r="H17" i="28"/>
  <c r="E18" i="28"/>
  <c r="G18" i="28"/>
  <c r="H18" i="28"/>
  <c r="E19" i="28"/>
  <c r="E20" i="28"/>
  <c r="H20" i="28"/>
  <c r="E21" i="28"/>
  <c r="F21" i="28"/>
  <c r="H21" i="28"/>
  <c r="E22" i="28"/>
  <c r="F22" i="28"/>
  <c r="G22" i="28"/>
  <c r="H22" i="28"/>
  <c r="E23" i="28"/>
  <c r="F23" i="28"/>
  <c r="G23" i="28"/>
  <c r="H23" i="28"/>
  <c r="E24" i="28"/>
  <c r="F24" i="28"/>
  <c r="G24" i="28"/>
  <c r="H24" i="28"/>
  <c r="E25" i="28"/>
  <c r="F25" i="28"/>
  <c r="G25" i="28"/>
  <c r="H25" i="28"/>
  <c r="E26" i="28"/>
  <c r="F26" i="28"/>
  <c r="G26" i="28"/>
  <c r="H26" i="28"/>
  <c r="E27" i="28"/>
  <c r="F27" i="28"/>
  <c r="G27" i="28"/>
  <c r="H27" i="28"/>
  <c r="E28" i="28"/>
  <c r="F28" i="28"/>
  <c r="G28" i="28"/>
  <c r="H28" i="28"/>
  <c r="E29" i="28"/>
  <c r="F29" i="28"/>
  <c r="G29" i="28"/>
  <c r="H29" i="28"/>
  <c r="E30" i="28"/>
  <c r="F30" i="28"/>
  <c r="G30" i="28"/>
  <c r="H30" i="28"/>
  <c r="E31" i="28"/>
  <c r="E32" i="28"/>
  <c r="F32" i="28"/>
  <c r="G32" i="28"/>
  <c r="H32" i="28"/>
  <c r="E33" i="28"/>
  <c r="F33" i="28"/>
  <c r="G33" i="28"/>
  <c r="H33" i="28"/>
  <c r="E34" i="28"/>
  <c r="F34" i="28"/>
  <c r="G34" i="28"/>
  <c r="H34" i="28"/>
  <c r="E35" i="28"/>
  <c r="F35" i="28"/>
  <c r="G35" i="28"/>
  <c r="H35" i="28"/>
  <c r="E36" i="28"/>
  <c r="F36" i="28"/>
  <c r="G36" i="28"/>
  <c r="H36" i="28"/>
  <c r="A1" i="28"/>
  <c r="B1" i="28"/>
  <c r="A2" i="28"/>
  <c r="B2" i="28"/>
  <c r="A3" i="28"/>
  <c r="B3" i="28"/>
  <c r="A4" i="28"/>
  <c r="B4" i="28"/>
  <c r="A5" i="28"/>
  <c r="B5" i="28"/>
  <c r="A6" i="28"/>
  <c r="B6" i="28"/>
  <c r="A7" i="28"/>
  <c r="B7" i="28"/>
  <c r="A8" i="28"/>
  <c r="B8" i="28"/>
  <c r="A9" i="28"/>
  <c r="B9" i="28"/>
  <c r="A10" i="28"/>
  <c r="B10" i="28"/>
  <c r="A11" i="28"/>
  <c r="B11" i="28"/>
  <c r="A12" i="28"/>
  <c r="B12" i="28"/>
  <c r="A13" i="28"/>
  <c r="B13" i="28"/>
  <c r="A14" i="28"/>
  <c r="B14" i="28"/>
  <c r="A15" i="28"/>
  <c r="B15" i="28"/>
  <c r="A16" i="28"/>
  <c r="B16" i="28"/>
  <c r="A17" i="28"/>
  <c r="B17" i="28"/>
  <c r="A18" i="28"/>
  <c r="B18" i="28"/>
  <c r="A19" i="28"/>
  <c r="B19" i="28"/>
  <c r="A20" i="28"/>
  <c r="B20" i="28"/>
  <c r="A21" i="28"/>
  <c r="B21" i="28"/>
  <c r="A22" i="28"/>
  <c r="B22" i="28"/>
  <c r="A23" i="28"/>
  <c r="B23" i="28"/>
  <c r="A24" i="28"/>
  <c r="B24" i="28"/>
  <c r="A25" i="28"/>
  <c r="B25" i="28"/>
  <c r="A26" i="28"/>
  <c r="B26" i="28"/>
  <c r="I2" i="3"/>
  <c r="P19" i="9"/>
  <c r="P18" i="9"/>
  <c r="E4" i="9"/>
  <c r="E5" i="9"/>
  <c r="E6" i="9"/>
  <c r="E7" i="9"/>
  <c r="E8" i="9"/>
  <c r="E9" i="9"/>
  <c r="E10" i="9"/>
  <c r="E11" i="9"/>
  <c r="E12" i="9"/>
  <c r="E13" i="9"/>
  <c r="E14" i="9"/>
  <c r="E15" i="9"/>
  <c r="E16" i="9"/>
  <c r="E17" i="9"/>
  <c r="E18" i="9"/>
  <c r="E19" i="9"/>
  <c r="E20" i="9"/>
  <c r="E21" i="9"/>
  <c r="E22" i="9"/>
  <c r="E23" i="9"/>
  <c r="E24" i="9"/>
  <c r="E25" i="9"/>
  <c r="E2" i="9"/>
  <c r="E3" i="9"/>
  <c r="H3" i="9" s="1"/>
  <c r="P16" i="9"/>
  <c r="P15" i="9"/>
  <c r="A2" i="9"/>
  <c r="F2" i="9" s="1"/>
  <c r="B2" i="9"/>
  <c r="A3" i="9"/>
  <c r="F3" i="9" s="1"/>
  <c r="B3" i="9"/>
  <c r="C3" i="9" s="1"/>
  <c r="A4" i="9"/>
  <c r="F4" i="9" s="1"/>
  <c r="B4" i="9"/>
  <c r="C4" i="9" s="1"/>
  <c r="H4" i="9" s="1"/>
  <c r="A5" i="9"/>
  <c r="F5" i="9" s="1"/>
  <c r="B5" i="9"/>
  <c r="C5" i="9" s="1"/>
  <c r="H5" i="9" s="1"/>
  <c r="A6" i="9"/>
  <c r="F6" i="9" s="1"/>
  <c r="B6" i="9"/>
  <c r="C6" i="9" s="1"/>
  <c r="A7" i="9"/>
  <c r="F7" i="9" s="1"/>
  <c r="B7" i="9"/>
  <c r="C7" i="9" s="1"/>
  <c r="A8" i="9"/>
  <c r="F8" i="9" s="1"/>
  <c r="B8" i="9"/>
  <c r="C8" i="9" s="1"/>
  <c r="A9" i="9"/>
  <c r="F9" i="9" s="1"/>
  <c r="B9" i="9"/>
  <c r="C9" i="9" s="1"/>
  <c r="A10" i="9"/>
  <c r="F10" i="9" s="1"/>
  <c r="B10" i="9"/>
  <c r="C10" i="9" s="1"/>
  <c r="A11" i="9"/>
  <c r="F11" i="9" s="1"/>
  <c r="B11" i="9"/>
  <c r="C11" i="9" s="1"/>
  <c r="A12" i="9"/>
  <c r="F12" i="9" s="1"/>
  <c r="B12" i="9"/>
  <c r="C12" i="9" s="1"/>
  <c r="A13" i="9"/>
  <c r="F13" i="9" s="1"/>
  <c r="B13" i="9"/>
  <c r="C13" i="9" s="1"/>
  <c r="A14" i="9"/>
  <c r="F14" i="9" s="1"/>
  <c r="B14" i="9"/>
  <c r="C14" i="9" s="1"/>
  <c r="A15" i="9"/>
  <c r="F15" i="9" s="1"/>
  <c r="B15" i="9"/>
  <c r="C15" i="9" s="1"/>
  <c r="A16" i="9"/>
  <c r="F16" i="9" s="1"/>
  <c r="B16" i="9"/>
  <c r="C16" i="9" s="1"/>
  <c r="H16" i="9" s="1"/>
  <c r="A17" i="9"/>
  <c r="F17" i="9" s="1"/>
  <c r="B17" i="9"/>
  <c r="C17" i="9" s="1"/>
  <c r="A18" i="9"/>
  <c r="F18" i="9" s="1"/>
  <c r="B18" i="9"/>
  <c r="C18" i="9" s="1"/>
  <c r="H18" i="9" s="1"/>
  <c r="A19" i="9"/>
  <c r="F19" i="9" s="1"/>
  <c r="B19" i="9"/>
  <c r="C19" i="9" s="1"/>
  <c r="H19" i="9" s="1"/>
  <c r="A20" i="9"/>
  <c r="F20" i="9" s="1"/>
  <c r="B20" i="9"/>
  <c r="C20" i="9" s="1"/>
  <c r="A21" i="9"/>
  <c r="F21" i="9" s="1"/>
  <c r="B21" i="9"/>
  <c r="C21" i="9" s="1"/>
  <c r="A22" i="9"/>
  <c r="F22" i="9" s="1"/>
  <c r="B22" i="9"/>
  <c r="C22" i="9" s="1"/>
  <c r="A23" i="9"/>
  <c r="F23" i="9" s="1"/>
  <c r="B23" i="9"/>
  <c r="C23" i="9" s="1"/>
  <c r="A24" i="9"/>
  <c r="F24" i="9" s="1"/>
  <c r="B24" i="9"/>
  <c r="C24" i="9" s="1"/>
  <c r="A25" i="9"/>
  <c r="F25" i="9" s="1"/>
  <c r="B25" i="9"/>
  <c r="C25" i="9" s="1"/>
  <c r="B26" i="7"/>
  <c r="B24" i="7"/>
  <c r="B23" i="7"/>
  <c r="B21" i="7"/>
  <c r="A7" i="7"/>
  <c r="A6" i="7"/>
  <c r="E5" i="7"/>
  <c r="A3" i="7" s="1"/>
  <c r="E10" i="7"/>
  <c r="B16" i="6"/>
  <c r="B12" i="6"/>
  <c r="C19" i="16"/>
  <c r="C18" i="16"/>
  <c r="C17" i="16"/>
  <c r="C16" i="16"/>
  <c r="C15" i="16"/>
  <c r="C14" i="16"/>
  <c r="C13" i="16"/>
  <c r="C12" i="16"/>
  <c r="C11" i="16"/>
  <c r="C10" i="16"/>
  <c r="C9" i="16"/>
  <c r="C8" i="16"/>
  <c r="C7" i="16"/>
  <c r="C6" i="16"/>
  <c r="C5" i="16"/>
  <c r="C4" i="16"/>
  <c r="C3" i="16"/>
  <c r="C2" i="16"/>
  <c r="L17" i="13" l="1"/>
  <c r="L21" i="13"/>
  <c r="L5" i="13"/>
  <c r="H33" i="27"/>
  <c r="H39" i="27" s="1"/>
  <c r="M19" i="29"/>
  <c r="L19" i="29"/>
  <c r="H19" i="27"/>
  <c r="G21" i="28"/>
  <c r="C14" i="28" s="1"/>
  <c r="G10" i="28"/>
  <c r="G9" i="28"/>
  <c r="L24" i="13"/>
  <c r="L11" i="13"/>
  <c r="L15" i="13"/>
  <c r="L2" i="13"/>
  <c r="L26" i="13"/>
  <c r="L19" i="13"/>
  <c r="L20" i="13"/>
  <c r="L6" i="13"/>
  <c r="F20" i="28"/>
  <c r="L25" i="13"/>
  <c r="L22" i="13"/>
  <c r="L3" i="13"/>
  <c r="L23" i="13"/>
  <c r="L18" i="13"/>
  <c r="L1" i="13"/>
  <c r="L10" i="13"/>
  <c r="L16" i="13"/>
  <c r="L9" i="13"/>
  <c r="L27" i="13"/>
  <c r="L14" i="13"/>
  <c r="H8" i="9"/>
  <c r="C23" i="28"/>
  <c r="I2" i="1"/>
  <c r="C25" i="28"/>
  <c r="C22" i="28"/>
  <c r="C3" i="28"/>
  <c r="C26" i="28"/>
  <c r="C24" i="28"/>
  <c r="C16" i="28"/>
  <c r="C12" i="28"/>
  <c r="C5" i="28"/>
  <c r="C17" i="28"/>
  <c r="C11" i="28"/>
  <c r="C10" i="28"/>
  <c r="C21" i="28"/>
  <c r="C18" i="28"/>
  <c r="C4" i="28"/>
  <c r="C15" i="28"/>
  <c r="C6" i="28"/>
  <c r="C9" i="28"/>
  <c r="C20" i="28"/>
  <c r="C8" i="28"/>
  <c r="C19" i="28"/>
  <c r="C13" i="28"/>
  <c r="C7" i="28"/>
  <c r="H15" i="9"/>
  <c r="H14" i="9"/>
  <c r="H12" i="9"/>
  <c r="H11" i="9"/>
  <c r="H22" i="9"/>
  <c r="H10" i="9"/>
  <c r="H13" i="9"/>
  <c r="H9" i="9"/>
  <c r="H25" i="9"/>
  <c r="H24" i="9"/>
  <c r="H6" i="9"/>
  <c r="C2" i="9"/>
  <c r="H2" i="9" s="1"/>
  <c r="C32" i="16"/>
  <c r="D2" i="16" s="1"/>
  <c r="H7" i="9"/>
  <c r="A9" i="7"/>
  <c r="A10" i="7" s="1"/>
  <c r="A11" i="7" s="1"/>
  <c r="E12" i="7"/>
  <c r="A13" i="7"/>
  <c r="A14" i="7"/>
  <c r="A15" i="7" s="1"/>
  <c r="H23" i="9"/>
  <c r="H17" i="9"/>
  <c r="H21" i="9"/>
  <c r="H20" i="9"/>
  <c r="P179" i="1"/>
  <c r="Q179" i="1" s="1"/>
  <c r="R179" i="1"/>
  <c r="S179" i="1"/>
  <c r="P180" i="1"/>
  <c r="Q180" i="1" s="1"/>
  <c r="R180" i="1"/>
  <c r="S180" i="1"/>
  <c r="P181" i="1"/>
  <c r="Q181" i="1" s="1"/>
  <c r="R181" i="1"/>
  <c r="S181" i="1"/>
  <c r="P182" i="1"/>
  <c r="Q182" i="1" s="1"/>
  <c r="R182" i="1"/>
  <c r="S182" i="1"/>
  <c r="P183" i="1"/>
  <c r="Q183" i="1" s="1"/>
  <c r="R183" i="1"/>
  <c r="S183" i="1"/>
  <c r="P184" i="1"/>
  <c r="Q184" i="1" s="1"/>
  <c r="R184" i="1"/>
  <c r="S184" i="1"/>
  <c r="P185" i="1"/>
  <c r="Q185" i="1" s="1"/>
  <c r="R185" i="1"/>
  <c r="S185" i="1"/>
  <c r="P186" i="1"/>
  <c r="Q186" i="1" s="1"/>
  <c r="R186" i="1"/>
  <c r="S186" i="1"/>
  <c r="P187" i="1"/>
  <c r="Q187" i="1" s="1"/>
  <c r="R187" i="1"/>
  <c r="S187" i="1"/>
  <c r="P188" i="1"/>
  <c r="Q188" i="1" s="1"/>
  <c r="R188" i="1"/>
  <c r="S188" i="1"/>
  <c r="P189" i="1"/>
  <c r="Q189" i="1" s="1"/>
  <c r="R189" i="1"/>
  <c r="S189" i="1"/>
  <c r="P190" i="1"/>
  <c r="Q190" i="1" s="1"/>
  <c r="R190" i="1"/>
  <c r="S190" i="1"/>
  <c r="P191" i="1"/>
  <c r="Q191" i="1" s="1"/>
  <c r="R191" i="1"/>
  <c r="S191" i="1"/>
  <c r="P192" i="1"/>
  <c r="Q192" i="1" s="1"/>
  <c r="R192" i="1"/>
  <c r="S192" i="1"/>
  <c r="P193" i="1"/>
  <c r="Q193" i="1" s="1"/>
  <c r="R193" i="1"/>
  <c r="S193" i="1"/>
  <c r="I179" i="1"/>
  <c r="J179" i="1"/>
  <c r="K179" i="1"/>
  <c r="L179" i="1"/>
  <c r="M179" i="1"/>
  <c r="N179" i="1"/>
  <c r="I180" i="1"/>
  <c r="J180" i="1"/>
  <c r="K180" i="1"/>
  <c r="L180" i="1"/>
  <c r="M180" i="1"/>
  <c r="N180" i="1"/>
  <c r="I181" i="1"/>
  <c r="J181" i="1"/>
  <c r="K181" i="1"/>
  <c r="L181" i="1"/>
  <c r="M181" i="1"/>
  <c r="N181" i="1"/>
  <c r="I182" i="1"/>
  <c r="J182" i="1"/>
  <c r="K182" i="1"/>
  <c r="L182" i="1"/>
  <c r="M182" i="1"/>
  <c r="N182" i="1"/>
  <c r="I183" i="1"/>
  <c r="J183" i="1"/>
  <c r="K183" i="1"/>
  <c r="L183" i="1"/>
  <c r="M183" i="1"/>
  <c r="N183" i="1"/>
  <c r="I184" i="1"/>
  <c r="J184" i="1"/>
  <c r="K184" i="1"/>
  <c r="L184" i="1"/>
  <c r="M184" i="1"/>
  <c r="N184" i="1"/>
  <c r="I185" i="1"/>
  <c r="J185" i="1"/>
  <c r="K185" i="1"/>
  <c r="L185" i="1"/>
  <c r="M185" i="1"/>
  <c r="N185" i="1"/>
  <c r="I186" i="1"/>
  <c r="J186" i="1"/>
  <c r="K186" i="1"/>
  <c r="L186" i="1"/>
  <c r="M186" i="1"/>
  <c r="N186" i="1"/>
  <c r="I187" i="1"/>
  <c r="J187" i="1"/>
  <c r="K187" i="1"/>
  <c r="L187" i="1"/>
  <c r="M187" i="1"/>
  <c r="N187" i="1"/>
  <c r="I188" i="1"/>
  <c r="J188" i="1"/>
  <c r="K188" i="1"/>
  <c r="L188" i="1"/>
  <c r="M188" i="1"/>
  <c r="N188" i="1"/>
  <c r="I189" i="1"/>
  <c r="J189" i="1"/>
  <c r="K189" i="1"/>
  <c r="L189" i="1"/>
  <c r="M189" i="1"/>
  <c r="N189" i="1"/>
  <c r="I190" i="1"/>
  <c r="J190" i="1"/>
  <c r="K190" i="1"/>
  <c r="L190" i="1"/>
  <c r="M190" i="1"/>
  <c r="N190" i="1"/>
  <c r="I191" i="1"/>
  <c r="J191" i="1"/>
  <c r="K191" i="1"/>
  <c r="L191" i="1"/>
  <c r="M191" i="1"/>
  <c r="N191" i="1"/>
  <c r="I192" i="1"/>
  <c r="J192" i="1"/>
  <c r="K192" i="1"/>
  <c r="L192" i="1"/>
  <c r="M192" i="1"/>
  <c r="N192" i="1"/>
  <c r="I193" i="1"/>
  <c r="J193" i="1"/>
  <c r="K193" i="1"/>
  <c r="L193" i="1"/>
  <c r="M193" i="1"/>
  <c r="N193" i="1"/>
  <c r="D9" i="16" l="1"/>
  <c r="D25" i="16"/>
  <c r="D6" i="16"/>
  <c r="D30" i="16"/>
  <c r="D26" i="16"/>
  <c r="D12" i="16"/>
  <c r="D18" i="16"/>
  <c r="D14" i="16"/>
  <c r="D8" i="16"/>
  <c r="D20" i="16"/>
  <c r="D13" i="16"/>
  <c r="D10" i="16"/>
  <c r="D29" i="16"/>
  <c r="D11" i="16"/>
  <c r="D17" i="16"/>
  <c r="D5" i="16"/>
  <c r="D24" i="16"/>
  <c r="D22" i="16"/>
  <c r="D19" i="16"/>
  <c r="D4" i="16"/>
  <c r="D16" i="16"/>
  <c r="D15" i="16"/>
  <c r="D21" i="16"/>
  <c r="D31" i="16"/>
  <c r="D28" i="16"/>
  <c r="D7" i="16"/>
  <c r="D23" i="16"/>
  <c r="D27" i="16"/>
  <c r="D3" i="16"/>
  <c r="U183" i="1"/>
  <c r="U192" i="1"/>
  <c r="U188" i="1"/>
  <c r="U184" i="1"/>
  <c r="U187" i="1"/>
  <c r="U190" i="1"/>
  <c r="U193" i="1"/>
  <c r="U186" i="1"/>
  <c r="U189" i="1"/>
  <c r="J4" i="5"/>
  <c r="K4" i="5"/>
  <c r="B16" i="5"/>
  <c r="B15" i="5"/>
  <c r="H4" i="5"/>
  <c r="G4" i="5"/>
  <c r="K50" i="3"/>
  <c r="K51" i="3"/>
  <c r="K52" i="3"/>
  <c r="K53" i="3"/>
  <c r="K54" i="3"/>
  <c r="K55" i="3"/>
  <c r="K56" i="3"/>
  <c r="K57" i="3"/>
  <c r="K58" i="3"/>
  <c r="K59" i="3"/>
  <c r="K60" i="3"/>
  <c r="K61" i="3"/>
  <c r="K62" i="3"/>
  <c r="K63" i="3"/>
  <c r="K64" i="3"/>
  <c r="K65" i="3"/>
  <c r="K66" i="3"/>
  <c r="K67" i="3"/>
  <c r="K68" i="3"/>
  <c r="K69" i="3"/>
  <c r="K70" i="3"/>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156" i="1"/>
  <c r="S157" i="1"/>
  <c r="S158" i="1"/>
  <c r="S159" i="1"/>
  <c r="S160" i="1"/>
  <c r="S161" i="1"/>
  <c r="S162" i="1"/>
  <c r="S163" i="1"/>
  <c r="S164" i="1"/>
  <c r="S165" i="1"/>
  <c r="S166" i="1"/>
  <c r="S167" i="1"/>
  <c r="S168" i="1"/>
  <c r="S169" i="1"/>
  <c r="S170" i="1"/>
  <c r="S171" i="1"/>
  <c r="S172" i="1"/>
  <c r="S173" i="1"/>
  <c r="S174" i="1"/>
  <c r="S175" i="1"/>
  <c r="S176" i="1"/>
  <c r="S177" i="1"/>
  <c r="S178" i="1"/>
  <c r="S2" i="1"/>
  <c r="U3" i="3"/>
  <c r="U5" i="3"/>
  <c r="U6" i="3"/>
  <c r="U7" i="3"/>
  <c r="U8" i="3"/>
  <c r="U9" i="3"/>
  <c r="U10" i="3"/>
  <c r="U11" i="3"/>
  <c r="U12" i="3"/>
  <c r="U13" i="3"/>
  <c r="U14" i="3"/>
  <c r="U15" i="3"/>
  <c r="U16" i="3"/>
  <c r="U17" i="3"/>
  <c r="U18"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156" i="1"/>
  <c r="N157" i="1"/>
  <c r="N158" i="1"/>
  <c r="N159" i="1"/>
  <c r="N160" i="1"/>
  <c r="N161" i="1"/>
  <c r="N162" i="1"/>
  <c r="N163" i="1"/>
  <c r="N164" i="1"/>
  <c r="N165" i="1"/>
  <c r="N166" i="1"/>
  <c r="N167" i="1"/>
  <c r="N168" i="1"/>
  <c r="N169" i="1"/>
  <c r="N170" i="1"/>
  <c r="N171" i="1"/>
  <c r="N172" i="1"/>
  <c r="N173" i="1"/>
  <c r="N174" i="1"/>
  <c r="N175" i="1"/>
  <c r="N176" i="1"/>
  <c r="N177" i="1"/>
  <c r="N178" i="1"/>
  <c r="N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156" i="1"/>
  <c r="M157" i="1"/>
  <c r="M158" i="1"/>
  <c r="M159" i="1"/>
  <c r="M160" i="1"/>
  <c r="M161" i="1"/>
  <c r="M162" i="1"/>
  <c r="M163" i="1"/>
  <c r="M164" i="1"/>
  <c r="M165" i="1"/>
  <c r="M166" i="1"/>
  <c r="M167" i="1"/>
  <c r="M168" i="1"/>
  <c r="M169" i="1"/>
  <c r="M170" i="1"/>
  <c r="M171" i="1"/>
  <c r="M172" i="1"/>
  <c r="M173" i="1"/>
  <c r="M174" i="1"/>
  <c r="M175" i="1"/>
  <c r="M176" i="1"/>
  <c r="M177" i="1"/>
  <c r="M178" i="1"/>
  <c r="M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156" i="1"/>
  <c r="L157" i="1"/>
  <c r="L158" i="1"/>
  <c r="L159" i="1"/>
  <c r="L160" i="1"/>
  <c r="L161" i="1"/>
  <c r="L162" i="1"/>
  <c r="L163" i="1"/>
  <c r="L164" i="1"/>
  <c r="L165" i="1"/>
  <c r="L166" i="1"/>
  <c r="L167" i="1"/>
  <c r="L168" i="1"/>
  <c r="L169" i="1"/>
  <c r="L170" i="1"/>
  <c r="L171" i="1"/>
  <c r="L172" i="1"/>
  <c r="L173" i="1"/>
  <c r="L174" i="1"/>
  <c r="L175" i="1"/>
  <c r="L176" i="1"/>
  <c r="L177" i="1"/>
  <c r="L178" i="1"/>
  <c r="L2" i="1"/>
  <c r="C4" i="6"/>
  <c r="U2" i="3"/>
  <c r="B4" i="6"/>
  <c r="K34" i="5"/>
  <c r="K31" i="5"/>
  <c r="C28" i="5"/>
  <c r="H17" i="3"/>
  <c r="H16" i="3"/>
  <c r="AD3" i="1"/>
  <c r="H15" i="5"/>
  <c r="K7" i="5"/>
  <c r="AH38"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156" i="1"/>
  <c r="R157" i="1"/>
  <c r="R158" i="1"/>
  <c r="R159" i="1"/>
  <c r="R160" i="1"/>
  <c r="R161" i="1"/>
  <c r="R162" i="1"/>
  <c r="R163" i="1"/>
  <c r="R164" i="1"/>
  <c r="R165" i="1"/>
  <c r="R166" i="1"/>
  <c r="R167" i="1"/>
  <c r="R168" i="1"/>
  <c r="R169" i="1"/>
  <c r="R170" i="1"/>
  <c r="R171" i="1"/>
  <c r="R172" i="1"/>
  <c r="R173" i="1"/>
  <c r="R174" i="1"/>
  <c r="R175" i="1"/>
  <c r="R176" i="1"/>
  <c r="R177" i="1"/>
  <c r="R178" i="1"/>
  <c r="U191" i="1" l="1"/>
  <c r="U182" i="1"/>
  <c r="U185" i="1"/>
  <c r="U48" i="3"/>
  <c r="L4" i="5"/>
  <c r="K8" i="5"/>
  <c r="P156" i="1"/>
  <c r="Q156" i="1" s="1"/>
  <c r="P157" i="1"/>
  <c r="Q157" i="1" s="1"/>
  <c r="P158" i="1"/>
  <c r="Q158" i="1" s="1"/>
  <c r="P159" i="1"/>
  <c r="Q159" i="1" s="1"/>
  <c r="P160" i="1"/>
  <c r="Q160" i="1" s="1"/>
  <c r="P161" i="1"/>
  <c r="Q161" i="1" s="1"/>
  <c r="P162" i="1"/>
  <c r="Q162" i="1" s="1"/>
  <c r="P163" i="1"/>
  <c r="Q163" i="1" s="1"/>
  <c r="P164" i="1"/>
  <c r="Q164" i="1" s="1"/>
  <c r="P165" i="1"/>
  <c r="Q165" i="1" s="1"/>
  <c r="P166" i="1"/>
  <c r="Q166" i="1" s="1"/>
  <c r="P167" i="1"/>
  <c r="Q167" i="1" s="1"/>
  <c r="P168" i="1"/>
  <c r="Q168" i="1" s="1"/>
  <c r="P169" i="1"/>
  <c r="Q169" i="1" s="1"/>
  <c r="P170" i="1"/>
  <c r="Q170" i="1" s="1"/>
  <c r="P171" i="1"/>
  <c r="Q171" i="1" s="1"/>
  <c r="P172" i="1"/>
  <c r="Q172" i="1" s="1"/>
  <c r="P173" i="1"/>
  <c r="Q173" i="1" s="1"/>
  <c r="P174" i="1"/>
  <c r="Q174" i="1" s="1"/>
  <c r="P175" i="1"/>
  <c r="Q175" i="1" s="1"/>
  <c r="P176" i="1"/>
  <c r="Q176" i="1" s="1"/>
  <c r="P177" i="1"/>
  <c r="Q177" i="1" s="1"/>
  <c r="P178" i="1"/>
  <c r="Q178" i="1" s="1"/>
  <c r="I156" i="1"/>
  <c r="J156" i="1"/>
  <c r="K156" i="1"/>
  <c r="I157" i="1"/>
  <c r="J157" i="1"/>
  <c r="K157" i="1"/>
  <c r="I158" i="1"/>
  <c r="J158" i="1"/>
  <c r="K158" i="1"/>
  <c r="I159" i="1"/>
  <c r="J159" i="1"/>
  <c r="K159" i="1"/>
  <c r="I160" i="1"/>
  <c r="J160" i="1"/>
  <c r="K160" i="1"/>
  <c r="I161" i="1"/>
  <c r="J161" i="1"/>
  <c r="K161" i="1"/>
  <c r="I162" i="1"/>
  <c r="J162" i="1"/>
  <c r="K162" i="1"/>
  <c r="I163" i="1"/>
  <c r="J163" i="1"/>
  <c r="K163" i="1"/>
  <c r="I164" i="1"/>
  <c r="J164" i="1"/>
  <c r="K164" i="1"/>
  <c r="I165" i="1"/>
  <c r="J165" i="1"/>
  <c r="K165" i="1"/>
  <c r="I166" i="1"/>
  <c r="J166" i="1"/>
  <c r="K166" i="1"/>
  <c r="I167" i="1"/>
  <c r="J167" i="1"/>
  <c r="K167" i="1"/>
  <c r="I168" i="1"/>
  <c r="J168" i="1"/>
  <c r="K168" i="1"/>
  <c r="I169" i="1"/>
  <c r="J169" i="1"/>
  <c r="K169" i="1"/>
  <c r="I170" i="1"/>
  <c r="J170" i="1"/>
  <c r="K170" i="1"/>
  <c r="I171" i="1"/>
  <c r="J171" i="1"/>
  <c r="K171" i="1"/>
  <c r="I172" i="1"/>
  <c r="J172" i="1"/>
  <c r="K172" i="1"/>
  <c r="I173" i="1"/>
  <c r="J173" i="1"/>
  <c r="K173" i="1"/>
  <c r="I174" i="1"/>
  <c r="J174" i="1"/>
  <c r="K174" i="1"/>
  <c r="I175" i="1"/>
  <c r="J175" i="1"/>
  <c r="K175" i="1"/>
  <c r="I176" i="1"/>
  <c r="J176" i="1"/>
  <c r="K176" i="1"/>
  <c r="I177" i="1"/>
  <c r="J177" i="1"/>
  <c r="K177" i="1"/>
  <c r="I178" i="1"/>
  <c r="J178" i="1"/>
  <c r="K178" i="1"/>
  <c r="R13" i="1"/>
  <c r="R2" i="1"/>
  <c r="R3" i="1"/>
  <c r="R4" i="1"/>
  <c r="R5" i="1"/>
  <c r="R6" i="1"/>
  <c r="R7" i="1"/>
  <c r="R8" i="1"/>
  <c r="R9" i="1"/>
  <c r="R10" i="1"/>
  <c r="R11" i="1"/>
  <c r="R12" i="1"/>
  <c r="Z41" i="1"/>
  <c r="H17" i="5"/>
  <c r="H16" i="5"/>
  <c r="B6" i="5"/>
  <c r="B22" i="5" s="1"/>
  <c r="I37" i="1"/>
  <c r="J37" i="1"/>
  <c r="K37" i="1"/>
  <c r="I38" i="1"/>
  <c r="J38" i="1"/>
  <c r="K38" i="1"/>
  <c r="I57" i="1"/>
  <c r="J57" i="1"/>
  <c r="K57" i="1"/>
  <c r="P57" i="1"/>
  <c r="Q57" i="1" s="1"/>
  <c r="I58" i="1"/>
  <c r="J58" i="1"/>
  <c r="K58" i="1"/>
  <c r="P58" i="1"/>
  <c r="Q58" i="1" s="1"/>
  <c r="I59" i="1"/>
  <c r="J59" i="1"/>
  <c r="K59" i="1"/>
  <c r="P59" i="1"/>
  <c r="Q59" i="1" s="1"/>
  <c r="I60" i="1"/>
  <c r="J60" i="1"/>
  <c r="K60" i="1"/>
  <c r="P60" i="1"/>
  <c r="Q60" i="1" s="1"/>
  <c r="I61" i="1"/>
  <c r="J61" i="1"/>
  <c r="K61" i="1"/>
  <c r="P61" i="1"/>
  <c r="Q61" i="1" s="1"/>
  <c r="I62" i="1"/>
  <c r="J62" i="1"/>
  <c r="K62" i="1"/>
  <c r="P62" i="1"/>
  <c r="Q62" i="1" s="1"/>
  <c r="I63" i="1"/>
  <c r="J63" i="1"/>
  <c r="K63" i="1"/>
  <c r="P63" i="1"/>
  <c r="Q63" i="1" s="1"/>
  <c r="I64" i="1"/>
  <c r="J64" i="1"/>
  <c r="K64" i="1"/>
  <c r="P64" i="1"/>
  <c r="Q64" i="1" s="1"/>
  <c r="I65" i="1"/>
  <c r="J65" i="1"/>
  <c r="K65" i="1"/>
  <c r="P65" i="1"/>
  <c r="Q65" i="1" s="1"/>
  <c r="I66" i="1"/>
  <c r="J66" i="1"/>
  <c r="K66" i="1"/>
  <c r="P66" i="1"/>
  <c r="Q66" i="1" s="1"/>
  <c r="I67" i="1"/>
  <c r="J67" i="1"/>
  <c r="K67" i="1"/>
  <c r="P67" i="1"/>
  <c r="Q67" i="1" s="1"/>
  <c r="I68" i="1"/>
  <c r="J68" i="1"/>
  <c r="K68" i="1"/>
  <c r="P68" i="1"/>
  <c r="Q68" i="1" s="1"/>
  <c r="I69" i="1"/>
  <c r="J69" i="1"/>
  <c r="K69" i="1"/>
  <c r="P69" i="1"/>
  <c r="Q69" i="1" s="1"/>
  <c r="I70" i="1"/>
  <c r="J70" i="1"/>
  <c r="K70" i="1"/>
  <c r="P70" i="1"/>
  <c r="Q70" i="1" s="1"/>
  <c r="I71" i="1"/>
  <c r="J71" i="1"/>
  <c r="K71" i="1"/>
  <c r="P71" i="1"/>
  <c r="Q71" i="1" s="1"/>
  <c r="I72" i="1"/>
  <c r="J72" i="1"/>
  <c r="K72" i="1"/>
  <c r="P72" i="1"/>
  <c r="Q72" i="1" s="1"/>
  <c r="I73" i="1"/>
  <c r="J73" i="1"/>
  <c r="K73" i="1"/>
  <c r="P73" i="1"/>
  <c r="Q73" i="1" s="1"/>
  <c r="I74" i="1"/>
  <c r="J74" i="1"/>
  <c r="K74" i="1"/>
  <c r="P74" i="1"/>
  <c r="Q74" i="1" s="1"/>
  <c r="I75" i="1"/>
  <c r="J75" i="1"/>
  <c r="K75" i="1"/>
  <c r="P75" i="1"/>
  <c r="Q75" i="1" s="1"/>
  <c r="I76" i="1"/>
  <c r="J76" i="1"/>
  <c r="K76" i="1"/>
  <c r="P76" i="1"/>
  <c r="Q76" i="1" s="1"/>
  <c r="I77" i="1"/>
  <c r="J77" i="1"/>
  <c r="K77" i="1"/>
  <c r="P77" i="1"/>
  <c r="Q77" i="1" s="1"/>
  <c r="I78" i="1"/>
  <c r="J78" i="1"/>
  <c r="K78" i="1"/>
  <c r="P78" i="1"/>
  <c r="Q78" i="1" s="1"/>
  <c r="I79" i="1"/>
  <c r="J79" i="1"/>
  <c r="K79" i="1"/>
  <c r="P79" i="1"/>
  <c r="Q79" i="1" s="1"/>
  <c r="I80" i="1"/>
  <c r="J80" i="1"/>
  <c r="K80" i="1"/>
  <c r="P80" i="1"/>
  <c r="Q80" i="1" s="1"/>
  <c r="I81" i="1"/>
  <c r="J81" i="1"/>
  <c r="K81" i="1"/>
  <c r="P81" i="1"/>
  <c r="Q81" i="1" s="1"/>
  <c r="I82" i="1"/>
  <c r="J82" i="1"/>
  <c r="K82" i="1"/>
  <c r="P82" i="1"/>
  <c r="Q82" i="1" s="1"/>
  <c r="I83" i="1"/>
  <c r="J83" i="1"/>
  <c r="K83" i="1"/>
  <c r="P83" i="1"/>
  <c r="Q83" i="1" s="1"/>
  <c r="I84" i="1"/>
  <c r="J84" i="1"/>
  <c r="K84" i="1"/>
  <c r="P84" i="1"/>
  <c r="Q84" i="1" s="1"/>
  <c r="I85" i="1"/>
  <c r="J85" i="1"/>
  <c r="K85" i="1"/>
  <c r="P85" i="1"/>
  <c r="Q85" i="1" s="1"/>
  <c r="I86" i="1"/>
  <c r="J86" i="1"/>
  <c r="K86" i="1"/>
  <c r="P86" i="1"/>
  <c r="Q86" i="1" s="1"/>
  <c r="I87" i="1"/>
  <c r="J87" i="1"/>
  <c r="K87" i="1"/>
  <c r="P87" i="1"/>
  <c r="Q87" i="1" s="1"/>
  <c r="I88" i="1"/>
  <c r="J88" i="1"/>
  <c r="K88" i="1"/>
  <c r="P88" i="1"/>
  <c r="Q88" i="1" s="1"/>
  <c r="I89" i="1"/>
  <c r="J89" i="1"/>
  <c r="K89" i="1"/>
  <c r="P89" i="1"/>
  <c r="Q89" i="1" s="1"/>
  <c r="I90" i="1"/>
  <c r="J90" i="1"/>
  <c r="K90" i="1"/>
  <c r="P90" i="1"/>
  <c r="Q90" i="1" s="1"/>
  <c r="I91" i="1"/>
  <c r="J91" i="1"/>
  <c r="K91" i="1"/>
  <c r="P91" i="1"/>
  <c r="Q91" i="1" s="1"/>
  <c r="I49" i="1"/>
  <c r="J49" i="1"/>
  <c r="K49" i="1"/>
  <c r="P49" i="1"/>
  <c r="Q49" i="1" s="1"/>
  <c r="I50" i="1"/>
  <c r="J50" i="1"/>
  <c r="K50" i="1"/>
  <c r="P50" i="1"/>
  <c r="Q50" i="1" s="1"/>
  <c r="I51" i="1"/>
  <c r="J51" i="1"/>
  <c r="K51" i="1"/>
  <c r="P51" i="1"/>
  <c r="Q51" i="1" s="1"/>
  <c r="I52" i="1"/>
  <c r="J52" i="1"/>
  <c r="K52" i="1"/>
  <c r="P52" i="1"/>
  <c r="Q52" i="1" s="1"/>
  <c r="I53" i="1"/>
  <c r="J53" i="1"/>
  <c r="K53" i="1"/>
  <c r="P53" i="1"/>
  <c r="Q53" i="1" s="1"/>
  <c r="I54" i="1"/>
  <c r="J54" i="1"/>
  <c r="K54" i="1"/>
  <c r="P54" i="1"/>
  <c r="Q54" i="1" s="1"/>
  <c r="I55" i="1"/>
  <c r="J55" i="1"/>
  <c r="K55" i="1"/>
  <c r="P55" i="1"/>
  <c r="Q55" i="1" s="1"/>
  <c r="I56" i="1"/>
  <c r="J56" i="1"/>
  <c r="K56" i="1"/>
  <c r="P56" i="1"/>
  <c r="Q56" i="1" s="1"/>
  <c r="F22" i="5"/>
  <c r="F21" i="5"/>
  <c r="B4" i="5" l="1"/>
  <c r="C16" i="6"/>
  <c r="B17" i="6"/>
  <c r="B18" i="6" s="1"/>
  <c r="C17" i="6"/>
  <c r="C18" i="6" s="1"/>
  <c r="C15" i="6"/>
  <c r="B15" i="6"/>
  <c r="B18" i="5"/>
  <c r="AC2" i="1"/>
  <c r="AC3" i="1" s="1"/>
  <c r="X2" i="1"/>
  <c r="X3" i="1" s="1"/>
  <c r="B11" i="6" l="1"/>
  <c r="C11" i="6"/>
  <c r="B19" i="5"/>
  <c r="B5" i="5"/>
  <c r="B7" i="5" s="1"/>
  <c r="D31" i="5"/>
  <c r="G14" i="5"/>
  <c r="F6" i="5"/>
  <c r="F7" i="5" s="1"/>
  <c r="B10" i="5" l="1"/>
  <c r="F17" i="5"/>
  <c r="F16" i="5"/>
  <c r="J14" i="5"/>
  <c r="G31" i="5"/>
  <c r="C16" i="5"/>
  <c r="D30" i="5"/>
  <c r="B10" i="6"/>
  <c r="B21" i="6" s="1"/>
  <c r="B7" i="6"/>
  <c r="C10" i="6"/>
  <c r="C21" i="6" s="1"/>
  <c r="G32" i="5"/>
  <c r="H14" i="5"/>
  <c r="B14" i="5"/>
  <c r="B23" i="5"/>
  <c r="H14" i="3"/>
  <c r="H15" i="3"/>
  <c r="H18" i="3"/>
  <c r="H19" i="3"/>
  <c r="K37" i="3"/>
  <c r="K38" i="3"/>
  <c r="K39" i="3"/>
  <c r="K40" i="3"/>
  <c r="K41" i="3"/>
  <c r="K42" i="3"/>
  <c r="K43" i="3"/>
  <c r="K44" i="3"/>
  <c r="K45" i="3"/>
  <c r="K46" i="3"/>
  <c r="K47" i="3"/>
  <c r="K48" i="3"/>
  <c r="K49" i="3"/>
  <c r="K35" i="3"/>
  <c r="K36" i="3"/>
  <c r="K25" i="3"/>
  <c r="K26" i="3"/>
  <c r="K27" i="3"/>
  <c r="K28" i="3"/>
  <c r="K29" i="3"/>
  <c r="K30" i="3"/>
  <c r="K31" i="3"/>
  <c r="K32" i="3"/>
  <c r="K33" i="3"/>
  <c r="K34" i="3"/>
  <c r="H3" i="3"/>
  <c r="H4" i="3"/>
  <c r="H5" i="3"/>
  <c r="H6" i="3"/>
  <c r="H7" i="3"/>
  <c r="H8" i="3"/>
  <c r="H9" i="3"/>
  <c r="H10" i="3"/>
  <c r="H11" i="3"/>
  <c r="H12" i="3"/>
  <c r="H13" i="3"/>
  <c r="K3" i="3"/>
  <c r="K4" i="3"/>
  <c r="K5" i="3"/>
  <c r="K6" i="3"/>
  <c r="K7" i="3"/>
  <c r="K8" i="3"/>
  <c r="K9" i="3"/>
  <c r="K10" i="3"/>
  <c r="K11" i="3"/>
  <c r="K12" i="3"/>
  <c r="K13" i="3"/>
  <c r="K14" i="3"/>
  <c r="K15" i="3"/>
  <c r="K16" i="3"/>
  <c r="K17" i="3"/>
  <c r="K18" i="3"/>
  <c r="K19" i="3"/>
  <c r="K20" i="3"/>
  <c r="K21" i="3"/>
  <c r="K22" i="3"/>
  <c r="K23" i="3"/>
  <c r="K24" i="3"/>
  <c r="K2" i="3"/>
  <c r="H2" i="3"/>
  <c r="P37" i="1"/>
  <c r="Q37" i="1" s="1"/>
  <c r="P38" i="1"/>
  <c r="Q38" i="1" s="1"/>
  <c r="P39" i="1"/>
  <c r="Q39" i="1" s="1"/>
  <c r="P40" i="1"/>
  <c r="Q40" i="1" s="1"/>
  <c r="P41" i="1"/>
  <c r="Q41" i="1" s="1"/>
  <c r="P42" i="1"/>
  <c r="Q42" i="1" s="1"/>
  <c r="P43" i="1"/>
  <c r="Q43" i="1" s="1"/>
  <c r="P44" i="1"/>
  <c r="Q44" i="1" s="1"/>
  <c r="P45" i="1"/>
  <c r="Q45" i="1" s="1"/>
  <c r="P46" i="1"/>
  <c r="Q46" i="1" s="1"/>
  <c r="P47" i="1"/>
  <c r="Q47" i="1" s="1"/>
  <c r="P48" i="1"/>
  <c r="Q48" i="1" s="1"/>
  <c r="K35" i="1"/>
  <c r="K36" i="1"/>
  <c r="K39" i="1"/>
  <c r="K40" i="1"/>
  <c r="K41" i="1"/>
  <c r="K42" i="1"/>
  <c r="K43" i="1"/>
  <c r="K44" i="1"/>
  <c r="K45" i="1"/>
  <c r="K46" i="1"/>
  <c r="K47" i="1"/>
  <c r="K48" i="1"/>
  <c r="J35" i="1"/>
  <c r="J36" i="1"/>
  <c r="J39" i="1"/>
  <c r="J40" i="1"/>
  <c r="J41" i="1"/>
  <c r="J42" i="1"/>
  <c r="J43" i="1"/>
  <c r="J44" i="1"/>
  <c r="J45" i="1"/>
  <c r="J46" i="1"/>
  <c r="J47" i="1"/>
  <c r="J48" i="1"/>
  <c r="I44" i="1"/>
  <c r="I45" i="1"/>
  <c r="I46" i="1"/>
  <c r="I47" i="1"/>
  <c r="I48" i="1"/>
  <c r="I35" i="1"/>
  <c r="I36" i="1"/>
  <c r="I39" i="1"/>
  <c r="I40" i="1"/>
  <c r="I41" i="1"/>
  <c r="I42" i="1"/>
  <c r="I43" i="1"/>
  <c r="I11" i="3" l="1"/>
  <c r="J12" i="3" s="1"/>
  <c r="J15" i="3"/>
  <c r="J18" i="3"/>
  <c r="I36" i="3"/>
  <c r="J39" i="3" s="1"/>
  <c r="I12" i="3"/>
  <c r="J13" i="3" s="1"/>
  <c r="I3" i="3"/>
  <c r="J3" i="3" s="1"/>
  <c r="I13" i="3"/>
  <c r="J14" i="3" s="1"/>
  <c r="I16" i="3"/>
  <c r="J19" i="3" s="1"/>
  <c r="I14" i="3"/>
  <c r="J16" i="3" s="1"/>
  <c r="I17" i="3"/>
  <c r="J20" i="3" s="1"/>
  <c r="I15" i="3"/>
  <c r="J17" i="3" s="1"/>
  <c r="I52" i="3"/>
  <c r="J55" i="3" s="1"/>
  <c r="I4" i="3"/>
  <c r="J5" i="3" s="1"/>
  <c r="I18" i="3"/>
  <c r="J21" i="3" s="1"/>
  <c r="I5" i="3"/>
  <c r="J6" i="3" s="1"/>
  <c r="I19" i="3"/>
  <c r="J22" i="3" s="1"/>
  <c r="I20" i="3"/>
  <c r="J23" i="3" s="1"/>
  <c r="I32" i="3"/>
  <c r="J35" i="3" s="1"/>
  <c r="I6" i="3"/>
  <c r="J7" i="3" s="1"/>
  <c r="I7" i="3"/>
  <c r="J8" i="3" s="1"/>
  <c r="I8" i="3"/>
  <c r="J9" i="3" s="1"/>
  <c r="J2" i="3"/>
  <c r="I9" i="3"/>
  <c r="J10" i="3" s="1"/>
  <c r="I10" i="3"/>
  <c r="J11" i="3" s="1"/>
  <c r="I37" i="3"/>
  <c r="J40" i="3" s="1"/>
  <c r="I43" i="3"/>
  <c r="J46" i="3" s="1"/>
  <c r="I22" i="3"/>
  <c r="J25" i="3" s="1"/>
  <c r="I35" i="3"/>
  <c r="J38" i="3" s="1"/>
  <c r="I27" i="3"/>
  <c r="J30" i="3" s="1"/>
  <c r="I58" i="3"/>
  <c r="J61" i="3" s="1"/>
  <c r="I33" i="3"/>
  <c r="J36" i="3" s="1"/>
  <c r="I63" i="3"/>
  <c r="J66" i="3" s="1"/>
  <c r="I21" i="3"/>
  <c r="J24" i="3" s="1"/>
  <c r="I53" i="3"/>
  <c r="J56" i="3" s="1"/>
  <c r="I57" i="3"/>
  <c r="J60" i="3" s="1"/>
  <c r="I31" i="3"/>
  <c r="I66" i="3"/>
  <c r="J69" i="3" s="1"/>
  <c r="I30" i="3"/>
  <c r="J33" i="3" s="1"/>
  <c r="I39" i="3"/>
  <c r="J42" i="3" s="1"/>
  <c r="I59" i="3"/>
  <c r="J62" i="3" s="1"/>
  <c r="I50" i="3"/>
  <c r="J53" i="3" s="1"/>
  <c r="I56" i="3"/>
  <c r="J59" i="3" s="1"/>
  <c r="I62" i="3"/>
  <c r="J65" i="3" s="1"/>
  <c r="I51" i="3"/>
  <c r="J54" i="3" s="1"/>
  <c r="I49" i="3"/>
  <c r="J52" i="3" s="1"/>
  <c r="I34" i="3"/>
  <c r="J37" i="3" s="1"/>
  <c r="I61" i="3"/>
  <c r="J64" i="3" s="1"/>
  <c r="I40" i="3"/>
  <c r="J43" i="3" s="1"/>
  <c r="I60" i="3"/>
  <c r="J63" i="3" s="1"/>
  <c r="I47" i="3"/>
  <c r="J50" i="3" s="1"/>
  <c r="I42" i="3"/>
  <c r="J45" i="3" s="1"/>
  <c r="I26" i="3"/>
  <c r="J29" i="3" s="1"/>
  <c r="I45" i="3"/>
  <c r="J48" i="3" s="1"/>
  <c r="I23" i="3"/>
  <c r="J26" i="3" s="1"/>
  <c r="I65" i="3"/>
  <c r="J68" i="3" s="1"/>
  <c r="I25" i="3"/>
  <c r="J28" i="3" s="1"/>
  <c r="I28" i="3"/>
  <c r="J31" i="3" s="1"/>
  <c r="I48" i="3"/>
  <c r="J51" i="3" s="1"/>
  <c r="I46" i="3"/>
  <c r="J49" i="3" s="1"/>
  <c r="I55" i="3"/>
  <c r="J58" i="3" s="1"/>
  <c r="I64" i="3"/>
  <c r="J67" i="3" s="1"/>
  <c r="I38" i="3"/>
  <c r="J41" i="3" s="1"/>
  <c r="I41" i="3"/>
  <c r="J44" i="3" s="1"/>
  <c r="I54" i="3"/>
  <c r="J57" i="3" s="1"/>
  <c r="I24" i="3"/>
  <c r="J27" i="3" s="1"/>
  <c r="I29" i="3"/>
  <c r="J32" i="3" s="1"/>
  <c r="I44" i="3"/>
  <c r="J47" i="3" s="1"/>
  <c r="J4" i="3"/>
  <c r="I67" i="3"/>
  <c r="J70" i="3" s="1"/>
  <c r="G18" i="5"/>
  <c r="I32" i="1"/>
  <c r="J32" i="1"/>
  <c r="K32" i="1"/>
  <c r="I33" i="1"/>
  <c r="J33" i="1"/>
  <c r="K33" i="1"/>
  <c r="I34" i="1"/>
  <c r="J34" i="1"/>
  <c r="K34" i="1"/>
  <c r="I26" i="1"/>
  <c r="J26" i="1"/>
  <c r="K26" i="1"/>
  <c r="I27" i="1"/>
  <c r="J27" i="1"/>
  <c r="K27" i="1"/>
  <c r="I28" i="1"/>
  <c r="J28" i="1"/>
  <c r="K28" i="1"/>
  <c r="I29" i="1"/>
  <c r="J29" i="1"/>
  <c r="K29" i="1"/>
  <c r="I30" i="1"/>
  <c r="J30" i="1"/>
  <c r="K30" i="1"/>
  <c r="I31" i="1"/>
  <c r="J31" i="1"/>
  <c r="K31" i="1"/>
  <c r="I21" i="1"/>
  <c r="J21" i="1"/>
  <c r="K21" i="1"/>
  <c r="I22" i="1"/>
  <c r="J22" i="1"/>
  <c r="K22" i="1"/>
  <c r="I23" i="1"/>
  <c r="J23" i="1"/>
  <c r="K23" i="1"/>
  <c r="I24" i="1"/>
  <c r="J24" i="1"/>
  <c r="K24" i="1"/>
  <c r="I25" i="1"/>
  <c r="J25" i="1"/>
  <c r="K25" i="1"/>
  <c r="I20" i="1"/>
  <c r="J20" i="1"/>
  <c r="K20" i="1"/>
  <c r="P22" i="1"/>
  <c r="Q22" i="1" s="1"/>
  <c r="P8" i="1"/>
  <c r="Q8" i="1" s="1"/>
  <c r="I16" i="1"/>
  <c r="J16" i="1"/>
  <c r="K16" i="1"/>
  <c r="I17" i="1"/>
  <c r="J17" i="1"/>
  <c r="K17" i="1"/>
  <c r="I18" i="1"/>
  <c r="J18" i="1"/>
  <c r="K18" i="1"/>
  <c r="I19" i="1"/>
  <c r="J19" i="1"/>
  <c r="K19" i="1"/>
  <c r="P3" i="1"/>
  <c r="Q3" i="1" s="1"/>
  <c r="P4" i="1"/>
  <c r="Q4" i="1" s="1"/>
  <c r="P5" i="1"/>
  <c r="Q5" i="1" s="1"/>
  <c r="P6" i="1"/>
  <c r="Q6" i="1" s="1"/>
  <c r="P7" i="1"/>
  <c r="Q7" i="1" s="1"/>
  <c r="P9" i="1"/>
  <c r="Q9" i="1" s="1"/>
  <c r="P10" i="1"/>
  <c r="Q10" i="1" s="1"/>
  <c r="P11" i="1"/>
  <c r="Q11" i="1" s="1"/>
  <c r="P12" i="1"/>
  <c r="Q12" i="1" s="1"/>
  <c r="P13" i="1"/>
  <c r="Q13" i="1" s="1"/>
  <c r="P14" i="1"/>
  <c r="Q14" i="1" s="1"/>
  <c r="P15" i="1"/>
  <c r="Q15" i="1" s="1"/>
  <c r="P16" i="1"/>
  <c r="Q16" i="1" s="1"/>
  <c r="P17" i="1"/>
  <c r="Q17" i="1" s="1"/>
  <c r="P18" i="1"/>
  <c r="Q18" i="1" s="1"/>
  <c r="P19" i="1"/>
  <c r="Q19" i="1" s="1"/>
  <c r="P20" i="1"/>
  <c r="Q20" i="1" s="1"/>
  <c r="P21" i="1"/>
  <c r="Q21" i="1" s="1"/>
  <c r="P23" i="1"/>
  <c r="Q23" i="1" s="1"/>
  <c r="P24" i="1"/>
  <c r="Q24" i="1" s="1"/>
  <c r="P25" i="1"/>
  <c r="Q25" i="1" s="1"/>
  <c r="P26" i="1"/>
  <c r="Q26" i="1" s="1"/>
  <c r="P27" i="1"/>
  <c r="Q27" i="1" s="1"/>
  <c r="P28" i="1"/>
  <c r="Q28" i="1" s="1"/>
  <c r="P29" i="1"/>
  <c r="Q29" i="1" s="1"/>
  <c r="P30" i="1"/>
  <c r="Q30" i="1" s="1"/>
  <c r="P31" i="1"/>
  <c r="Q31" i="1" s="1"/>
  <c r="P32" i="1"/>
  <c r="Q32" i="1" s="1"/>
  <c r="P33" i="1"/>
  <c r="Q33" i="1" s="1"/>
  <c r="P34" i="1"/>
  <c r="Q34" i="1" s="1"/>
  <c r="P35" i="1"/>
  <c r="Q35" i="1" s="1"/>
  <c r="P36" i="1"/>
  <c r="Q36" i="1" s="1"/>
  <c r="P2" i="1"/>
  <c r="J15" i="1"/>
  <c r="K15" i="1"/>
  <c r="I15" i="1"/>
  <c r="C12" i="6" l="1"/>
  <c r="C22" i="6" s="1"/>
  <c r="B22" i="6"/>
  <c r="H18" i="5"/>
  <c r="B17" i="5"/>
  <c r="F18" i="5"/>
  <c r="F19" i="5" s="1"/>
  <c r="J34" i="3"/>
  <c r="Q2" i="1"/>
  <c r="T2" i="1" s="1"/>
  <c r="U2" i="1" s="1"/>
  <c r="I3" i="1"/>
  <c r="J3" i="1"/>
  <c r="K3" i="1"/>
  <c r="I4" i="1"/>
  <c r="J4" i="1"/>
  <c r="K4" i="1"/>
  <c r="I5" i="1"/>
  <c r="J5" i="1"/>
  <c r="K5" i="1"/>
  <c r="I6" i="1"/>
  <c r="J6" i="1"/>
  <c r="K6" i="1"/>
  <c r="I7" i="1"/>
  <c r="J7" i="1"/>
  <c r="K7" i="1"/>
  <c r="I8" i="1"/>
  <c r="J8" i="1"/>
  <c r="K8" i="1"/>
  <c r="I9" i="1"/>
  <c r="J9" i="1"/>
  <c r="K9" i="1"/>
  <c r="I10" i="1"/>
  <c r="J10" i="1"/>
  <c r="K10" i="1"/>
  <c r="I11" i="1"/>
  <c r="J11" i="1"/>
  <c r="K11" i="1"/>
  <c r="I12" i="1"/>
  <c r="J12" i="1"/>
  <c r="K12" i="1"/>
  <c r="I13" i="1"/>
  <c r="J13" i="1"/>
  <c r="K13" i="1"/>
  <c r="I14" i="1"/>
  <c r="J14" i="1"/>
  <c r="K14" i="1"/>
  <c r="K2" i="1"/>
  <c r="J2" i="1"/>
  <c r="Y3" i="1" l="1"/>
  <c r="J26" i="5"/>
  <c r="B20" i="5"/>
  <c r="U3" i="1"/>
  <c r="T4" i="1" l="1"/>
  <c r="U4" i="1" s="1"/>
  <c r="T5" i="1" l="1"/>
  <c r="U5" i="1" s="1"/>
  <c r="T6" i="1" l="1"/>
  <c r="U6" i="1" s="1"/>
  <c r="T7" i="1" l="1"/>
  <c r="U7" i="1" s="1"/>
  <c r="T8" i="1" l="1"/>
  <c r="U8" i="1" s="1"/>
  <c r="T9" i="1" l="1"/>
  <c r="U9" i="1" s="1"/>
  <c r="T10" i="1" l="1"/>
  <c r="U10" i="1" s="1"/>
  <c r="T11" i="1" l="1"/>
  <c r="U11" i="1" s="1"/>
  <c r="T12" i="1" l="1"/>
  <c r="U12" i="1" s="1"/>
  <c r="T13" i="1" l="1"/>
  <c r="U13" i="1" s="1"/>
  <c r="T14" i="1" l="1"/>
  <c r="U14" i="1" s="1"/>
  <c r="T15" i="1" l="1"/>
  <c r="U15" i="1" s="1"/>
  <c r="T16" i="1" l="1"/>
  <c r="U16" i="1" s="1"/>
  <c r="T17" i="1" l="1"/>
  <c r="U17" i="1" s="1"/>
  <c r="T18" i="1" l="1"/>
  <c r="U18" i="1" s="1"/>
  <c r="T19" i="1" l="1"/>
  <c r="U19" i="1" s="1"/>
  <c r="T20" i="1" l="1"/>
  <c r="U20" i="1" s="1"/>
  <c r="T21" i="1" l="1"/>
  <c r="U21" i="1" s="1"/>
  <c r="T22" i="1" l="1"/>
  <c r="U22" i="1" s="1"/>
  <c r="T23" i="1" l="1"/>
  <c r="U23" i="1" s="1"/>
  <c r="T24" i="1" l="1"/>
  <c r="U24" i="1" s="1"/>
  <c r="T25" i="1" l="1"/>
  <c r="U25" i="1" s="1"/>
  <c r="T26" i="1" l="1"/>
  <c r="U26" i="1" s="1"/>
  <c r="T27" i="1" l="1"/>
  <c r="U27" i="1" s="1"/>
  <c r="T28" i="1" l="1"/>
  <c r="U28" i="1" s="1"/>
  <c r="T29" i="1" l="1"/>
  <c r="U29" i="1" s="1"/>
  <c r="T30" i="1" l="1"/>
  <c r="U30" i="1" s="1"/>
  <c r="T31" i="1" l="1"/>
  <c r="U31" i="1" s="1"/>
  <c r="T32" i="1" l="1"/>
  <c r="U32" i="1" s="1"/>
  <c r="T33" i="1" l="1"/>
  <c r="U33" i="1" s="1"/>
  <c r="T34" i="1" l="1"/>
  <c r="U34" i="1" s="1"/>
  <c r="T35" i="1" l="1"/>
  <c r="U35" i="1" s="1"/>
  <c r="T36" i="1" l="1"/>
  <c r="U36" i="1" s="1"/>
  <c r="T37" i="1" l="1"/>
  <c r="U37" i="1" s="1"/>
  <c r="T38" i="1" l="1"/>
  <c r="U38" i="1" s="1"/>
  <c r="T39" i="1" l="1"/>
  <c r="U39" i="1" s="1"/>
  <c r="T40" i="1" l="1"/>
  <c r="U40" i="1" s="1"/>
  <c r="T41" i="1" l="1"/>
  <c r="U41" i="1" s="1"/>
  <c r="T42" i="1" l="1"/>
  <c r="U42" i="1" s="1"/>
  <c r="T43" i="1" l="1"/>
  <c r="U43" i="1" s="1"/>
  <c r="T44" i="1" l="1"/>
  <c r="U44" i="1" s="1"/>
  <c r="T45" i="1" l="1"/>
  <c r="U45" i="1" s="1"/>
  <c r="T46" i="1" l="1"/>
  <c r="U46" i="1" s="1"/>
  <c r="T47" i="1" l="1"/>
  <c r="U47" i="1" s="1"/>
  <c r="T48" i="1" l="1"/>
  <c r="U48" i="1" s="1"/>
  <c r="T49" i="1" l="1"/>
  <c r="U49" i="1" s="1"/>
  <c r="T50" i="1" l="1"/>
  <c r="U50" i="1" s="1"/>
  <c r="T51" i="1" l="1"/>
  <c r="U51" i="1" s="1"/>
  <c r="T52" i="1" l="1"/>
  <c r="U52" i="1" s="1"/>
  <c r="T53" i="1" l="1"/>
  <c r="U53" i="1" s="1"/>
  <c r="T54" i="1" l="1"/>
  <c r="U54" i="1" s="1"/>
  <c r="T55" i="1" l="1"/>
  <c r="U55" i="1" s="1"/>
  <c r="T56" i="1" l="1"/>
  <c r="U56" i="1" s="1"/>
  <c r="T57" i="1" l="1"/>
  <c r="U57" i="1" s="1"/>
  <c r="T58" i="1" l="1"/>
  <c r="U58" i="1" s="1"/>
  <c r="T59" i="1" l="1"/>
  <c r="U59" i="1" s="1"/>
  <c r="T60" i="1" l="1"/>
  <c r="U60" i="1" s="1"/>
  <c r="T61" i="1" l="1"/>
  <c r="U61" i="1" s="1"/>
  <c r="T62" i="1" l="1"/>
  <c r="U62" i="1" s="1"/>
  <c r="T63" i="1" l="1"/>
  <c r="U63" i="1" s="1"/>
  <c r="T64" i="1" l="1"/>
  <c r="U64" i="1" s="1"/>
  <c r="T65" i="1" l="1"/>
  <c r="U65" i="1" s="1"/>
  <c r="T66" i="1" l="1"/>
  <c r="U66" i="1" s="1"/>
  <c r="T67" i="1" l="1"/>
  <c r="U67" i="1" s="1"/>
  <c r="T68" i="1" l="1"/>
  <c r="U68" i="1" s="1"/>
  <c r="T69" i="1" l="1"/>
  <c r="U69" i="1" s="1"/>
  <c r="T70" i="1" l="1"/>
  <c r="U70" i="1" s="1"/>
  <c r="T71" i="1" l="1"/>
  <c r="U71" i="1" s="1"/>
  <c r="T72" i="1" l="1"/>
  <c r="U72" i="1" s="1"/>
  <c r="T73" i="1" l="1"/>
  <c r="U73" i="1" s="1"/>
  <c r="T74" i="1" l="1"/>
  <c r="U74" i="1" s="1"/>
  <c r="T75" i="1" l="1"/>
  <c r="U75" i="1" s="1"/>
  <c r="T76" i="1" l="1"/>
  <c r="U76" i="1" s="1"/>
  <c r="T77" i="1" l="1"/>
  <c r="U77" i="1" s="1"/>
  <c r="T78" i="1" l="1"/>
  <c r="U78" i="1" s="1"/>
  <c r="T79" i="1" l="1"/>
  <c r="U79" i="1" s="1"/>
  <c r="T80" i="1" l="1"/>
  <c r="U80" i="1" s="1"/>
  <c r="T81" i="1" l="1"/>
  <c r="U81" i="1" s="1"/>
  <c r="T82" i="1" l="1"/>
  <c r="U82" i="1" s="1"/>
  <c r="T83" i="1" l="1"/>
  <c r="U83" i="1" s="1"/>
  <c r="T84" i="1" l="1"/>
  <c r="U84" i="1" s="1"/>
  <c r="T85" i="1" l="1"/>
  <c r="U85" i="1" s="1"/>
  <c r="T86" i="1" l="1"/>
  <c r="U86" i="1" s="1"/>
  <c r="T87" i="1" l="1"/>
  <c r="U87" i="1" s="1"/>
  <c r="T88" i="1" l="1"/>
  <c r="U88" i="1" s="1"/>
  <c r="T89" i="1" l="1"/>
  <c r="U89" i="1" s="1"/>
  <c r="T90" i="1" l="1"/>
  <c r="U90" i="1" s="1"/>
  <c r="T91" i="1" l="1"/>
  <c r="U91" i="1" s="1"/>
  <c r="T156" i="1" l="1"/>
  <c r="U156" i="1" s="1"/>
  <c r="T157" i="1" l="1"/>
  <c r="U157" i="1" s="1"/>
  <c r="T158" i="1" l="1"/>
  <c r="U158" i="1" s="1"/>
  <c r="T159" i="1" l="1"/>
  <c r="U159" i="1" s="1"/>
  <c r="T160" i="1" l="1"/>
  <c r="U160" i="1" s="1"/>
  <c r="T161" i="1" l="1"/>
  <c r="U161" i="1" s="1"/>
  <c r="T162" i="1" l="1"/>
  <c r="U162" i="1" s="1"/>
  <c r="T163" i="1" l="1"/>
  <c r="U163" i="1" s="1"/>
  <c r="T164" i="1" l="1"/>
  <c r="U164" i="1" s="1"/>
  <c r="T165" i="1" l="1"/>
  <c r="U165" i="1" s="1"/>
  <c r="T166" i="1" l="1"/>
  <c r="U166" i="1" s="1"/>
  <c r="T167" i="1" l="1"/>
  <c r="U167" i="1" s="1"/>
  <c r="T168" i="1" l="1"/>
  <c r="U168" i="1" s="1"/>
  <c r="T169" i="1" l="1"/>
  <c r="U169" i="1" s="1"/>
  <c r="T170" i="1" l="1"/>
  <c r="U170" i="1" s="1"/>
  <c r="T171" i="1" l="1"/>
  <c r="U171" i="1" s="1"/>
  <c r="T172" i="1" l="1"/>
  <c r="U172" i="1" s="1"/>
  <c r="T173" i="1" l="1"/>
  <c r="U173" i="1" s="1"/>
  <c r="T174" i="1" l="1"/>
  <c r="U174" i="1" s="1"/>
  <c r="T175" i="1" l="1"/>
  <c r="U175" i="1" s="1"/>
  <c r="T176" i="1" l="1"/>
  <c r="U176" i="1" s="1"/>
  <c r="T177" i="1" l="1"/>
  <c r="U177" i="1" s="1"/>
  <c r="T178" i="1" l="1"/>
  <c r="U178" i="1" l="1"/>
  <c r="T179" i="1"/>
  <c r="T180" i="1" l="1"/>
  <c r="U179" i="1"/>
  <c r="T181" i="1" l="1"/>
  <c r="U180" i="1"/>
  <c r="T182" i="1" l="1"/>
  <c r="T183" i="1" s="1"/>
  <c r="T184" i="1" s="1"/>
  <c r="T185" i="1" s="1"/>
  <c r="T186" i="1" s="1"/>
  <c r="T187" i="1" s="1"/>
  <c r="T188" i="1" s="1"/>
  <c r="T189" i="1" s="1"/>
  <c r="T190" i="1" s="1"/>
  <c r="T191" i="1" s="1"/>
  <c r="T192" i="1" s="1"/>
  <c r="T193" i="1" s="1"/>
  <c r="U181" i="1"/>
  <c r="I10" i="29"/>
  <c r="I11" i="29"/>
  <c r="I14" i="29"/>
  <c r="I17" i="29"/>
  <c r="G8" i="29"/>
  <c r="G9" i="29"/>
  <c r="J18" i="29"/>
  <c r="J12" i="29"/>
  <c r="J13" i="29"/>
  <c r="J16" i="29"/>
  <c r="J15" i="29"/>
  <c r="J7" i="29"/>
  <c r="J8" i="29"/>
  <c r="J9" i="29"/>
  <c r="J10" i="29"/>
  <c r="J11" i="29"/>
  <c r="Q17" i="29"/>
  <c r="Q16" i="29"/>
  <c r="Q15" i="29"/>
  <c r="W18" i="29"/>
  <c r="Q14" i="29"/>
  <c r="Q13" i="29"/>
  <c r="Q12" i="29"/>
  <c r="Q11" i="29"/>
  <c r="Q10" i="29"/>
  <c r="Q9" i="29"/>
  <c r="G7" i="29" l="1"/>
  <c r="G7" i="30"/>
  <c r="G14" i="29"/>
  <c r="K13" i="29"/>
  <c r="I13" i="29"/>
  <c r="M13" i="29"/>
  <c r="G13" i="29"/>
  <c r="K18" i="29"/>
  <c r="I18" i="29"/>
  <c r="K12" i="29"/>
  <c r="I12" i="29"/>
  <c r="G10" i="29"/>
  <c r="K16" i="29"/>
  <c r="I16" i="29"/>
  <c r="M9" i="29"/>
  <c r="I9" i="29"/>
  <c r="K17" i="29"/>
  <c r="J17" i="29"/>
  <c r="M16" i="29"/>
  <c r="G16" i="29"/>
  <c r="M8" i="29"/>
  <c r="I8" i="29"/>
  <c r="G12" i="29"/>
  <c r="M18" i="29"/>
  <c r="G18" i="29"/>
  <c r="L11" i="29"/>
  <c r="G11" i="29"/>
  <c r="L17" i="29"/>
  <c r="G17" i="29"/>
  <c r="M7" i="29"/>
  <c r="I7" i="29"/>
  <c r="L7" i="30"/>
  <c r="K11" i="29"/>
  <c r="K15" i="29"/>
  <c r="I15" i="29"/>
  <c r="K14" i="29"/>
  <c r="J14" i="29"/>
  <c r="L15" i="29"/>
  <c r="G15" i="29"/>
  <c r="M14" i="29"/>
  <c r="L14" i="29"/>
  <c r="M12" i="29"/>
  <c r="L12" i="29"/>
  <c r="M10" i="29"/>
  <c r="L10" i="29"/>
  <c r="M11" i="29" l="1"/>
  <c r="M15" i="29"/>
  <c r="L16" i="29"/>
  <c r="M17" i="29"/>
  <c r="L13" i="29"/>
  <c r="L18"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H19" authorId="0" shapeId="0" xr:uid="{4F5AE395-B969-1545-BF36-3F33214E7FE4}">
      <text>
        <r>
          <rPr>
            <b/>
            <sz val="10"/>
            <color rgb="FF000000"/>
            <rFont val="Tahoma"/>
            <family val="2"/>
          </rPr>
          <t>John Byrne:</t>
        </r>
        <r>
          <rPr>
            <sz val="10"/>
            <color rgb="FF000000"/>
            <rFont val="Tahoma"/>
            <family val="2"/>
          </rPr>
          <t xml:space="preserve">
</t>
        </r>
        <r>
          <rPr>
            <sz val="10"/>
            <color rgb="FF000000"/>
            <rFont val="Tahoma"/>
            <family val="2"/>
          </rPr>
          <t>This number should really consider the amount that is already spent due to recurring charges.  (hasn't been spent but will be spent.)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tc={E289B598-0468-584B-9629-B57616BB5E10}</author>
    <author>John Byrne</author>
  </authors>
  <commentList>
    <comment ref="D1" authorId="0" shapeId="0" xr:uid="{E289B598-0468-584B-9629-B57616BB5E10}">
      <text>
        <t>[Threaded comment]
Your version of Excel allows you to read this threaded comment; however, any edits to it will get removed if the file is opened in a newer version of Excel. Learn more: https://go.microsoft.com/fwlink/?linkid=870924
Comment:
    This is if the daily -&gt; monthly calculation doesn’t exactly match the amount we wanted.</t>
      </text>
    </comment>
    <comment ref="E1" authorId="1" shapeId="0" xr:uid="{5CF6ABFD-3E80-5D44-A39D-178B5C6507D8}">
      <text>
        <r>
          <rPr>
            <b/>
            <sz val="10"/>
            <color rgb="FF000000"/>
            <rFont val="Tahoma"/>
            <family val="2"/>
          </rPr>
          <t>John Byrne:</t>
        </r>
        <r>
          <rPr>
            <sz val="10"/>
            <color rgb="FF000000"/>
            <rFont val="Tahoma"/>
            <family val="2"/>
          </rPr>
          <t xml:space="preserve">
</t>
        </r>
        <r>
          <rPr>
            <sz val="10"/>
            <color rgb="FF000000"/>
            <rFont val="Tahoma"/>
            <family val="2"/>
          </rPr>
          <t>This is if the monthly-&gt;daily calculation doesn't exactly match what we wanted.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I1" authorId="0" shapeId="0" xr:uid="{BB0E5D98-4077-BA4B-9345-5C1853989B93}">
      <text>
        <r>
          <rPr>
            <b/>
            <sz val="10"/>
            <color rgb="FF000000"/>
            <rFont val="Tahoma"/>
            <family val="2"/>
          </rPr>
          <t>John Byrne:</t>
        </r>
        <r>
          <rPr>
            <sz val="10"/>
            <color rgb="FF000000"/>
            <rFont val="Tahoma"/>
            <family val="2"/>
          </rPr>
          <t xml:space="preserve">
</t>
        </r>
        <r>
          <rPr>
            <sz val="10"/>
            <color rgb="FF000000"/>
            <rFont val="Tahoma"/>
            <family val="2"/>
          </rPr>
          <t>If there is an error in the process, and the trip times don't get reset, this number calculates what the trip time was based on the previous time.  If the previous time was 0, then it was reset.  Otherwise, it's human error.</t>
        </r>
      </text>
    </comment>
    <comment ref="N1" authorId="0" shapeId="0" xr:uid="{CC42A879-9C54-7548-88F7-9652A8CC94E5}">
      <text>
        <r>
          <rPr>
            <b/>
            <sz val="10"/>
            <color rgb="FF000000"/>
            <rFont val="Tahoma"/>
            <family val="2"/>
          </rPr>
          <t>John Byrne:</t>
        </r>
        <r>
          <rPr>
            <sz val="10"/>
            <color rgb="FF000000"/>
            <rFont val="Tahoma"/>
            <family val="2"/>
          </rPr>
          <t xml:space="preserve">
</t>
        </r>
        <r>
          <rPr>
            <sz val="10"/>
            <color rgb="FF000000"/>
            <rFont val="Tahoma"/>
            <family val="2"/>
          </rPr>
          <t>This may help to characterize why some trips are so much more expensive than others.  For example, some trips have a lot more starts and stops.  Others are freeway/highway for long periods of time.  In here, include if you had the engine running and were parked (on the garageway cement, for example).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B3" authorId="0" shapeId="0" xr:uid="{54C836B0-CF52-CD49-A7C1-D847B6B76C7C}">
      <text>
        <r>
          <rPr>
            <b/>
            <sz val="10"/>
            <color rgb="FF000000"/>
            <rFont val="Tahoma"/>
            <family val="2"/>
          </rPr>
          <t>John Byrne:</t>
        </r>
        <r>
          <rPr>
            <sz val="10"/>
            <color rgb="FF000000"/>
            <rFont val="Tahoma"/>
            <family val="2"/>
          </rPr>
          <t xml:space="preserve">
</t>
        </r>
        <r>
          <rPr>
            <sz val="10"/>
            <color rgb="FF000000"/>
            <rFont val="Tahoma"/>
            <family val="2"/>
          </rPr>
          <t xml:space="preserve">Calculated with Mandatory Cash flow without seeing doctors etc.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044256-F5A5-AA43-8EE9-D6AA54F86C9C}" name="DollarsPerDayExpenditures" type="6" refreshedVersion="8" deleted="1" background="1" saveData="1">
    <textPr prompt="0" sourceFile="/Users/jbyrne/Dropbox/finance/DollarsPerDayExpenditures.csv" comma="1">
      <textFields count="2">
        <textField/>
        <textField/>
      </textFields>
    </textPr>
  </connection>
  <connection id="2" xr16:uid="{7F664E5D-ECE9-1243-8B90-B2BE94E9B4C5}" name="mandatory" type="6" refreshedVersion="8" deleted="1" background="1" saveData="1">
    <textPr sourceFile="/Users/jbyrne/Dropbox/finance/pieChart.csv" delimiter="|">
      <textFields count="7">
        <textField type="YMD"/>
        <textField/>
        <textField/>
        <textField/>
        <textField/>
        <textField/>
        <textField/>
      </textFields>
    </textPr>
  </connection>
  <connection id="3" xr16:uid="{643B10D2-76ED-704A-8EA2-FC72C90307CC}" name="output" type="6" refreshedVersion="8" deleted="1" background="1" saveData="1">
    <textPr sourceFile="/Users/jbyrne/Dropbox/eclipse-workspace/finance/Budget.csv" tab="0" delimiter="|">
      <textFields count="7">
        <textField type="YMD"/>
        <textField/>
        <textField/>
        <textField/>
        <textField/>
        <textField/>
        <textField/>
      </textFields>
    </textPr>
  </connection>
  <connection id="4" xr16:uid="{2C6A425F-0B7F-AB4E-9E7A-6A03E7FA7E7E}" name="output1" type="6" refreshedVersion="8" deleted="1" background="1" saveData="1">
    <textPr prompt="0" sourceFile="/Users/jbyrne/Dropbox/finance/output.csv" tab="0" delimiter="|">
      <textFields count="7">
        <textField type="YMD"/>
        <textField/>
        <textField/>
        <textField/>
        <textField/>
        <textField/>
        <textField/>
      </textFields>
    </textPr>
  </connection>
  <connection id="5" xr16:uid="{FCCC582A-A20A-D047-927E-A55A2391FD41}" keepAlive="1" name="Query - Budget" description="Connection to the 'Budget' query in the workbook." type="5" refreshedVersion="8" background="1" saveData="1">
    <dbPr connection="Provider=Microsoft.Mashup.OleDb.1;Data Source=$Workbook$;Location=Budget;Extended Properties=&quot;&quot;" command="SELECT * FROM [Budget]"/>
  </connection>
  <connection id="6" xr16:uid="{81E182FD-B8E5-1B4E-8DF5-F5C9B9539528}" keepAlive="1" name="Query - DollarsPerDayExpenditures" description="Connection to the 'DollarsPerDayExpenditures' query in the workbook." type="5" refreshedVersion="8" background="1" saveData="1">
    <dbPr connection="Provider=Microsoft.Mashup.OleDb.1;Data Source=$Workbook$;Location=DollarsPerDayExpenditures;Extended Properties=&quot;&quot;" command="SELECT * FROM [DollarsPerDayExpenditures]"/>
  </connection>
  <connection id="7" xr16:uid="{56F96116-0F2D-9E45-A639-651B22F31628}" keepAlive="1" name="Query - DollarsPerMonth" description="Connection to the 'DollarsPerMonth' query in the workbook." type="5" refreshedVersion="8" background="1" saveData="1">
    <dbPr connection="Provider=Microsoft.Mashup.OleDb.1;Data Source=$Workbook$;Location=DollarsPerMonth;Extended Properties=&quot;&quot;" command="SELECT * FROM [DollarsPerMonth]"/>
  </connection>
  <connection id="8" xr16:uid="{A4E36B1D-CB35-2642-B293-62D124C80928}" keepAlive="1" name="Query - monthlyStatus" description="Connection to the 'monthlyStatus' query in the workbook." type="5" refreshedVersion="8" background="1" saveData="1">
    <dbPr connection="Provider=Microsoft.Mashup.OleDb.1;Data Source=$Workbook$;Location=monthlyStatus;Extended Properties=&quot;&quot;" command="SELECT * FROM [monthlyStatus]"/>
  </connection>
  <connection id="9" xr16:uid="{4D880542-5144-AA4A-BF94-BC72BC73FB1C}" keepAlive="1" name="Query - output" description="Connection to the 'output' query in the workbook." type="5" refreshedVersion="8" background="1" saveData="1">
    <dbPr connection="Provider=Microsoft.Mashup.OleDb.1;Data Source=$Workbook$;Location=output;Extended Properties=&quot;&quot;" command="SELECT * FROM [output]"/>
  </connection>
  <connection id="10" xr16:uid="{BF4A43D8-CDE5-C742-8901-2D2042AF99EA}" keepAlive="1" name="Query - pieChart" description="Connection to the 'pieChart' query in the workbook." type="5" refreshedVersion="8" background="1" saveData="1">
    <dbPr connection="Provider=Microsoft.Mashup.OleDb.1;Data Source=$Workbook$;Location=pieChart;Extended Properties=&quot;&quot;" command="SELECT * FROM [pieChart]"/>
  </connection>
  <connection id="11" xr16:uid="{6B78DC62-97DE-FB40-B1B2-B5991190DF0B}" keepAlive="1" name="Query - SuggestedSavings (2)" description="Connection to the 'SuggestedSavings (2)' query in the workbook." type="5" refreshedVersion="8" background="1" saveData="1">
    <dbPr connection="Provider=Microsoft.Mashup.OleDb.1;Data Source=$Workbook$;Location=&quot;SuggestedSavings (2)&quot;;Extended Properties=&quot;&quot;" command="SELECT * FROM [SuggestedSavings (2)]"/>
  </connection>
</connections>
</file>

<file path=xl/sharedStrings.xml><?xml version="1.0" encoding="utf-8"?>
<sst xmlns="http://schemas.openxmlformats.org/spreadsheetml/2006/main" count="1547" uniqueCount="434">
  <si>
    <t>TX date</t>
  </si>
  <si>
    <t>description</t>
  </si>
  <si>
    <t>amount</t>
  </si>
  <si>
    <t>category</t>
  </si>
  <si>
    <t>xcldfromcshflow</t>
  </si>
  <si>
    <t>Mandatory</t>
  </si>
  <si>
    <t>source</t>
  </si>
  <si>
    <t>balance</t>
  </si>
  <si>
    <t>StarOneTXs</t>
  </si>
  <si>
    <t>cc Txs</t>
  </si>
  <si>
    <t>Notes</t>
  </si>
  <si>
    <t>Amount</t>
  </si>
  <si>
    <t>Date</t>
  </si>
  <si>
    <t>Cumulative Amount Spent</t>
  </si>
  <si>
    <t>Cumulative Amount Spent +</t>
  </si>
  <si>
    <t>Cash Flow Max</t>
  </si>
  <si>
    <t>First TX O'mo</t>
  </si>
  <si>
    <t>Constant (within reason Mandatory expenditures)</t>
  </si>
  <si>
    <t>Transactions</t>
  </si>
  <si>
    <t>flat rate needs</t>
  </si>
  <si>
    <t>income</t>
  </si>
  <si>
    <t>gross</t>
  </si>
  <si>
    <t>SSDI</t>
  </si>
  <si>
    <t>wants</t>
  </si>
  <si>
    <t>after needs</t>
  </si>
  <si>
    <t>check</t>
  </si>
  <si>
    <t>wants percentages</t>
  </si>
  <si>
    <t>Pay off truck</t>
  </si>
  <si>
    <t>pay off taxes</t>
  </si>
  <si>
    <t>% of needs - savings</t>
  </si>
  <si>
    <t>gas/food</t>
  </si>
  <si>
    <t>tax rate</t>
  </si>
  <si>
    <t>tithe</t>
  </si>
  <si>
    <t>what's left after tithe</t>
  </si>
  <si>
    <t>Work</t>
  </si>
  <si>
    <t>left after catchup</t>
  </si>
  <si>
    <t>approximate adjusted gross income</t>
  </si>
  <si>
    <t>60% of AGI</t>
  </si>
  <si>
    <t>Savings per month</t>
  </si>
  <si>
    <t>truck per mo</t>
  </si>
  <si>
    <t>taxes per mo</t>
  </si>
  <si>
    <t>deductions</t>
  </si>
  <si>
    <t>SSI</t>
  </si>
  <si>
    <t>number of months cash reserve</t>
  </si>
  <si>
    <t>wants per month</t>
  </si>
  <si>
    <t>per month</t>
  </si>
  <si>
    <t>percent of total budget</t>
  </si>
  <si>
    <t>Future Xns</t>
  </si>
  <si>
    <t>Income</t>
  </si>
  <si>
    <t>SUM</t>
  </si>
  <si>
    <t>Day Num Year</t>
  </si>
  <si>
    <t>Day Num Monthly</t>
  </si>
  <si>
    <t>First TX O'year</t>
  </si>
  <si>
    <t>without gross</t>
  </si>
  <si>
    <t>take home net pay</t>
  </si>
  <si>
    <t>calculated</t>
  </si>
  <si>
    <t>from check</t>
  </si>
  <si>
    <t>Medicare</t>
  </si>
  <si>
    <t>Fed Withholding</t>
  </si>
  <si>
    <t>Pay off Dreamspring</t>
  </si>
  <si>
    <t>percent of wants</t>
  </si>
  <si>
    <t>percentages of net</t>
  </si>
  <si>
    <t>Truck</t>
  </si>
  <si>
    <t>taxes</t>
  </si>
  <si>
    <t>left over</t>
  </si>
  <si>
    <t>needs</t>
  </si>
  <si>
    <t>savings</t>
  </si>
  <si>
    <t>How much to put in each savings account after a checkpoint (the 22nd?)</t>
  </si>
  <si>
    <t>amount over baseline</t>
  </si>
  <si>
    <t>truck</t>
  </si>
  <si>
    <t>baseline</t>
  </si>
  <si>
    <t>Amount Over BL</t>
  </si>
  <si>
    <t>left over per paycheck</t>
  </si>
  <si>
    <t>wants 5.29</t>
  </si>
  <si>
    <t>total wants 5.29</t>
  </si>
  <si>
    <t>taken out of wants</t>
  </si>
  <si>
    <t>left to not transfer</t>
  </si>
  <si>
    <t>taken out to pay dreamspring</t>
  </si>
  <si>
    <t>Next put savings percentage into Savings</t>
  </si>
  <si>
    <t xml:space="preserve">Then from what's left subtract mandatory &amp; Discretionary </t>
  </si>
  <si>
    <t>whatever that produces put in wants</t>
  </si>
  <si>
    <t>I think the process is to take the tithe out</t>
  </si>
  <si>
    <t>From ALL your income… at the beginning of every month for the previous month</t>
  </si>
  <si>
    <t>Savings</t>
  </si>
  <si>
    <t>Discretionary</t>
  </si>
  <si>
    <t>Wants</t>
  </si>
  <si>
    <t>Mandatory Expenses Only</t>
  </si>
  <si>
    <t>disc expns</t>
  </si>
  <si>
    <t>Deductions Proposed</t>
  </si>
  <si>
    <t>Actual</t>
  </si>
  <si>
    <t>Tithes</t>
  </si>
  <si>
    <t>Transfer2Sav</t>
  </si>
  <si>
    <t>Wants xfer</t>
  </si>
  <si>
    <t>Discrepancy from proposed</t>
  </si>
  <si>
    <t>* If CashFlow data reflects these numbers.</t>
  </si>
  <si>
    <t>or how about leave it at $1000 and whatever is above that goes into wants</t>
  </si>
  <si>
    <t>expenses only mand/discretionary</t>
  </si>
  <si>
    <t>Incme-Mand</t>
  </si>
  <si>
    <t>Days To Shift Right</t>
  </si>
  <si>
    <t>Deductions %s</t>
  </si>
  <si>
    <t>Number of days to pay off</t>
  </si>
  <si>
    <t>begin date</t>
  </si>
  <si>
    <t>payoff by date</t>
  </si>
  <si>
    <t>M</t>
  </si>
  <si>
    <t>CheckingStarOneTXs</t>
  </si>
  <si>
    <t>VisaChaseTXs</t>
  </si>
  <si>
    <t>Food/Groceries</t>
  </si>
  <si>
    <t>DiningOut</t>
  </si>
  <si>
    <t>Internet Service</t>
  </si>
  <si>
    <t>Household</t>
  </si>
  <si>
    <t>Movies/Entertainment</t>
  </si>
  <si>
    <t>Gas</t>
  </si>
  <si>
    <t>VSP 800-785-0699</t>
  </si>
  <si>
    <t>Medical/Dental/Vision Insurance</t>
  </si>
  <si>
    <t>Gifts/Donations</t>
  </si>
  <si>
    <t>Utilities : Internet</t>
  </si>
  <si>
    <t>APPLE.COM/BILL</t>
  </si>
  <si>
    <t>ActualSpendingCategory1</t>
  </si>
  <si>
    <t xml:space="preserve"> amount</t>
  </si>
  <si>
    <t xml:space="preserve"> difference</t>
  </si>
  <si>
    <t xml:space="preserve"> AllowedSpending Category2</t>
  </si>
  <si>
    <t xml:space="preserve"> dailyAllowedAmount</t>
  </si>
  <si>
    <t xml:space="preserve"> days to go</t>
  </si>
  <si>
    <t>AutoFinancing</t>
  </si>
  <si>
    <t>Actual Savings</t>
  </si>
  <si>
    <t xml:space="preserve"> suggested Savings</t>
  </si>
  <si>
    <t>CASH</t>
  </si>
  <si>
    <t>DIVIDEND</t>
  </si>
  <si>
    <t>y</t>
  </si>
  <si>
    <t>FREE SOFTWARE FOUNDATION</t>
  </si>
  <si>
    <t>Spectrum</t>
  </si>
  <si>
    <t>WWP*CLARK PEST CONTROL</t>
  </si>
  <si>
    <t>SMITH'S FOOD 4392</t>
  </si>
  <si>
    <t>24 SEVEN</t>
  </si>
  <si>
    <t>ADOBE *ACROPRO SUB 408-536-6000 CA Card #:0154</t>
  </si>
  <si>
    <t>NETFLIX.COM</t>
  </si>
  <si>
    <t>Shopping</t>
  </si>
  <si>
    <t>CHEVRON 0205653</t>
  </si>
  <si>
    <t>CHEVRON 0205653 SILVER SPRING NV Card #:0154</t>
  </si>
  <si>
    <t>24 SEVEN SILVER SPGS NV Card #:0154</t>
  </si>
  <si>
    <t>Amazon.com*UK8YI62P3</t>
  </si>
  <si>
    <t>CarMax Auto     Finance   231221</t>
  </si>
  <si>
    <t>JACK IN THE BOX 7317</t>
  </si>
  <si>
    <t>Prime Video *6F4DQ0DY3</t>
  </si>
  <si>
    <t>FTDC MULTIPLEX CINEMAS</t>
  </si>
  <si>
    <t>TACO BELL 031867</t>
  </si>
  <si>
    <t>SBI 1227 1415 763171 Mobile Deposit          Star One CU  CA</t>
  </si>
  <si>
    <t>USPS PO 3180300429</t>
  </si>
  <si>
    <t>AETNA HEALTH MGTWEB PAY   231227</t>
  </si>
  <si>
    <t>GAINWELL TECHNOLDIRECT DEP231229</t>
  </si>
  <si>
    <t>Amazon Prime*6E2YE4ZJ3</t>
  </si>
  <si>
    <t>ATM 1231 1611 020243 6760 Hwy 95 A s         Silver SpringNV Card #:0154</t>
  </si>
  <si>
    <t>AutoFinancing,-297.3399963378906</t>
  </si>
  <si>
    <t>Household,-225.3199920654297</t>
  </si>
  <si>
    <t>CASH,-223.5</t>
  </si>
  <si>
    <t>Utilities : Internet,-154.98001098632812</t>
  </si>
  <si>
    <t>Gas,-75.0</t>
  </si>
  <si>
    <t>Internet Service,-48.959999084472656</t>
  </si>
  <si>
    <t>Food/Groceries,-28.5</t>
  </si>
  <si>
    <t>DiningOut,-22.93000030517578</t>
  </si>
  <si>
    <t>Movies/Entertainment,-21.489999771118164</t>
  </si>
  <si>
    <t>Gifts/Donations,-10.0</t>
  </si>
  <si>
    <t>Shopping,-5.989999771118164</t>
  </si>
  <si>
    <t>Medical/Dental/Vision Insurance,-2.799999952316284</t>
  </si>
  <si>
    <t>net pay</t>
  </si>
  <si>
    <t xml:space="preserve"> amount_1</t>
  </si>
  <si>
    <t>-Infinity</t>
  </si>
  <si>
    <t>Column1</t>
  </si>
  <si>
    <t>Column2</t>
  </si>
  <si>
    <t>Column3</t>
  </si>
  <si>
    <t>Column4</t>
  </si>
  <si>
    <t>Column5</t>
  </si>
  <si>
    <t>Column6</t>
  </si>
  <si>
    <t>Column7</t>
  </si>
  <si>
    <t/>
  </si>
  <si>
    <t>actual per day expenditures</t>
  </si>
  <si>
    <t>wanted daily</t>
  </si>
  <si>
    <t>set Monthly budget</t>
  </si>
  <si>
    <t>2025-01-01</t>
  </si>
  <si>
    <t>Overall</t>
  </si>
  <si>
    <t>Gainwell</t>
  </si>
  <si>
    <t>Number of months to pay off</t>
  </si>
  <si>
    <t>Monthly Payment</t>
  </si>
  <si>
    <t>Number of years to pay off</t>
  </si>
  <si>
    <t>Payment per day</t>
  </si>
  <si>
    <t>interest rate</t>
  </si>
  <si>
    <t>interest application rate (like 1/month)</t>
  </si>
  <si>
    <t>Amount of Debt (Principle)</t>
  </si>
  <si>
    <t>Amount with applied interest</t>
  </si>
  <si>
    <t>Number of years calculated with time periods</t>
  </si>
  <si>
    <t>Number of years the loan is for.</t>
  </si>
  <si>
    <t>extra interest paid</t>
  </si>
  <si>
    <t>End Date of loan</t>
  </si>
  <si>
    <t>Begin Date of loan</t>
  </si>
  <si>
    <t>Bi-Weekly actual</t>
  </si>
  <si>
    <t>Bi-Weekly Payment Calculated</t>
  </si>
  <si>
    <t>Monthly Payment Calculated</t>
  </si>
  <si>
    <t>Payment per day Calculated</t>
  </si>
  <si>
    <t>Loan Start Day (Actual)</t>
  </si>
  <si>
    <t>Loan End Day (Actual)</t>
  </si>
  <si>
    <t>Loan Start Day Actual</t>
  </si>
  <si>
    <t>Loan End Day (Calculated) - based on Amount paid per month</t>
  </si>
  <si>
    <t>Diffeernce in Loan End Date Actual and Loan End Date calculated</t>
  </si>
  <si>
    <t>Difference in Loan End Date Actual and Loan end Date calcuated in years</t>
  </si>
  <si>
    <t>Amount of interest paid at end of Loan</t>
  </si>
  <si>
    <t>FOOD/GROCERIES</t>
  </si>
  <si>
    <t>GAS</t>
  </si>
  <si>
    <t>CHARITABLECONTRIBUTIONS</t>
  </si>
  <si>
    <t>BOOKS/EDUCATION</t>
  </si>
  <si>
    <t>CHASE CC PAYMENT</t>
  </si>
  <si>
    <t>NEWSPAPER/MAGAZINES</t>
  </si>
  <si>
    <t>INTERNET SERVICE</t>
  </si>
  <si>
    <t>PAYMENT</t>
  </si>
  <si>
    <t>INCOME</t>
  </si>
  <si>
    <t>TRAVEL</t>
  </si>
  <si>
    <t>AUTOINSURANCE</t>
  </si>
  <si>
    <t>HOUSEHOLD</t>
  </si>
  <si>
    <t>AUTO FINANCE</t>
  </si>
  <si>
    <t>MEDICAL/DENTAL/VISION INSURANCE</t>
  </si>
  <si>
    <t>PETCARE</t>
  </si>
  <si>
    <t>ENTERTAINMENT</t>
  </si>
  <si>
    <t>MEDICAL/DENTAL/VISION</t>
  </si>
  <si>
    <t>VACATION/TRAVEL</t>
  </si>
  <si>
    <t>AUTOMAINTENANCE</t>
  </si>
  <si>
    <t>WOODBURN AND WEDGE</t>
  </si>
  <si>
    <t>LEGAL/DEBT</t>
  </si>
  <si>
    <t>DININGOUT</t>
  </si>
  <si>
    <t>UTILITIES</t>
  </si>
  <si>
    <t>VIVINT          VIVINT</t>
  </si>
  <si>
    <t>GIFTS/DONATIONS</t>
  </si>
  <si>
    <t>UTILITIES : INTERNET</t>
  </si>
  <si>
    <t>Spectrum Mobile</t>
  </si>
  <si>
    <t>HEALTHINSURANCE</t>
  </si>
  <si>
    <t>UTILITIES : ELECTRICITY</t>
  </si>
  <si>
    <t>Subway 59801 Silver Spring NV Card #:0154</t>
  </si>
  <si>
    <t>DOCTOR/HOSPITAL</t>
  </si>
  <si>
    <t>0.00</t>
  </si>
  <si>
    <t>BANK/CARDFEES</t>
  </si>
  <si>
    <t>COMPUTERSOFTWARE/HARDWARE</t>
  </si>
  <si>
    <t>TITHE</t>
  </si>
  <si>
    <t>+Lincoln NationaEDI PYMNTS</t>
  </si>
  <si>
    <t>January</t>
  </si>
  <si>
    <t>February</t>
  </si>
  <si>
    <t>March</t>
  </si>
  <si>
    <t>April</t>
  </si>
  <si>
    <t>May</t>
  </si>
  <si>
    <t>June</t>
  </si>
  <si>
    <t>July</t>
  </si>
  <si>
    <t>August</t>
  </si>
  <si>
    <t>September</t>
  </si>
  <si>
    <t>October</t>
  </si>
  <si>
    <t>November</t>
  </si>
  <si>
    <t>December</t>
  </si>
  <si>
    <t>wanted monthly *This is if the daily calculation doesn't exactly match the Monthly</t>
  </si>
  <si>
    <t>CHEVRON 0206448 SPARKS NV Card #:0154</t>
  </si>
  <si>
    <t>Category</t>
  </si>
  <si>
    <t xml:space="preserve"> Monthly Budgeted Amount</t>
  </si>
  <si>
    <t xml:space="preserve"> Actual Amount Spent</t>
  </si>
  <si>
    <t xml:space="preserve"> Difference</t>
  </si>
  <si>
    <t>Categories that nothing was spent in:</t>
  </si>
  <si>
    <t>Spent amounts in categories that aren't in the budget:</t>
  </si>
  <si>
    <t xml:space="preserve">  Title: Monthly (dollars per Month)</t>
  </si>
  <si>
    <t>-441.8800048828125</t>
  </si>
  <si>
    <t>-162.8300018310547</t>
  </si>
  <si>
    <t>-65.98999786376953</t>
  </si>
  <si>
    <t>-52.209999084472656</t>
  </si>
  <si>
    <t>-43.5</t>
  </si>
  <si>
    <t>-40.0</t>
  </si>
  <si>
    <t>-19.100000381469727</t>
  </si>
  <si>
    <t>-13.84000015258789</t>
  </si>
  <si>
    <t>-3.0</t>
  </si>
  <si>
    <t>GEICO           PREM COLL 250514</t>
  </si>
  <si>
    <t>Payment Thank You - Web</t>
  </si>
  <si>
    <t>Rural Nevada Counse Silver Spring NV Card #:0154</t>
  </si>
  <si>
    <t>CHASE CREDIT CRDEPAY      250515</t>
  </si>
  <si>
    <t>-147.11000061035156</t>
  </si>
  <si>
    <t>-20.0</t>
  </si>
  <si>
    <t>-1.100000023841858</t>
  </si>
  <si>
    <t>Gallons</t>
  </si>
  <si>
    <t>$/Gal</t>
  </si>
  <si>
    <t>Price Calculated</t>
  </si>
  <si>
    <t>Receipt price</t>
  </si>
  <si>
    <t>Need to increase this in the budget</t>
  </si>
  <si>
    <t>Need to modify this in the budget</t>
  </si>
  <si>
    <t>Won't be an expense any more</t>
  </si>
  <si>
    <t>This needs to be increased.  I tried to cancel, they said, "No."</t>
  </si>
  <si>
    <t>13.84</t>
  </si>
  <si>
    <t>0.46</t>
  </si>
  <si>
    <t>883.91</t>
  </si>
  <si>
    <t>162.73</t>
  </si>
  <si>
    <t>25.00</t>
  </si>
  <si>
    <t>40.00</t>
  </si>
  <si>
    <t>661.26</t>
  </si>
  <si>
    <t>518.30</t>
  </si>
  <si>
    <t>1071.28</t>
  </si>
  <si>
    <t>21.90</t>
  </si>
  <si>
    <t>19.16</t>
  </si>
  <si>
    <t>302.95</t>
  </si>
  <si>
    <t>87.90</t>
  </si>
  <si>
    <t>184.93</t>
  </si>
  <si>
    <t>3.95</t>
  </si>
  <si>
    <t>76.65</t>
  </si>
  <si>
    <t>69.35</t>
  </si>
  <si>
    <t>173.98</t>
  </si>
  <si>
    <t>20.00</t>
  </si>
  <si>
    <t>29.06</t>
  </si>
  <si>
    <t>5.35</t>
  </si>
  <si>
    <t>0.82</t>
  </si>
  <si>
    <t>1.32</t>
  </si>
  <si>
    <t>21.74</t>
  </si>
  <si>
    <t>17.04</t>
  </si>
  <si>
    <t>35.22</t>
  </si>
  <si>
    <t>0.72</t>
  </si>
  <si>
    <t>0.63</t>
  </si>
  <si>
    <t>9.96</t>
  </si>
  <si>
    <t>2.89</t>
  </si>
  <si>
    <t>6.08</t>
  </si>
  <si>
    <t>0.13</t>
  </si>
  <si>
    <t>2.52</t>
  </si>
  <si>
    <t>2.28</t>
  </si>
  <si>
    <t>5.72</t>
  </si>
  <si>
    <t>0.66</t>
  </si>
  <si>
    <t xml:space="preserve">   Title: Daily (dollars per Day)</t>
  </si>
  <si>
    <t>PT *RENOWN HEALTH</t>
  </si>
  <si>
    <t>CMS MEDICARE    PREMIUMS  250519</t>
  </si>
  <si>
    <t>Google YouTube Member</t>
  </si>
  <si>
    <t>SILVER STAGE PHARMA SILVER SPRING NV Card #:0154</t>
  </si>
  <si>
    <t>Quickie Mart RENO NV Card #:0154</t>
  </si>
  <si>
    <t>-185.0</t>
  </si>
  <si>
    <t>-237.8800048828125</t>
  </si>
  <si>
    <t>average days p/month</t>
  </si>
  <si>
    <t>days since the 1st</t>
  </si>
  <si>
    <t>Budgeted</t>
  </si>
  <si>
    <t>percentage over or under time-based ramp/scale</t>
  </si>
  <si>
    <t>(Negative means I've spent that much % less)</t>
  </si>
  <si>
    <t>% contributing towards budget savings/deviation</t>
  </si>
  <si>
    <t>ENTERPRISE RENT-A-CAR</t>
  </si>
  <si>
    <t>TRANSPORTATION/AUTO</t>
  </si>
  <si>
    <t>SP SWEET THORNS FLO 177-58420853 NV Card #:0154</t>
  </si>
  <si>
    <t>-575.8099975585938</t>
  </si>
  <si>
    <t>-109.45999908447266</t>
  </si>
  <si>
    <t>-101.95999908447266</t>
  </si>
  <si>
    <t>theoretical time-based ramp/scale (How much I should have spent if considering linear spend trend.)</t>
  </si>
  <si>
    <t>How much I actually Did spend</t>
  </si>
  <si>
    <t>future TXs</t>
  </si>
  <si>
    <t>VIVINT          VIVINT|-34.4599990844727</t>
  </si>
  <si>
    <t>APPLE.COM/BILL|-2.99000000953674</t>
  </si>
  <si>
    <t>Spectrum|-124.0</t>
  </si>
  <si>
    <t>Spectrum Mobile|-50.0</t>
  </si>
  <si>
    <t>AUTOFORTIVA PMT PAYMENT   250427|-24.6299991607666</t>
  </si>
  <si>
    <t>TD AUTO FINANCE WEB PAY   250426|-441.880004882813</t>
  </si>
  <si>
    <t>amount over/under linear prediction</t>
  </si>
  <si>
    <t>If I stopped spending totally at this point, would I be within budget
considering future TXs?  I would have spent this much considering
future TXs:</t>
  </si>
  <si>
    <t>I would be (-over/+under) by:</t>
  </si>
  <si>
    <t>Expenditures to meet budget</t>
  </si>
  <si>
    <t>Dog food</t>
  </si>
  <si>
    <t>Snacks</t>
  </si>
  <si>
    <t>Golfer's pants</t>
  </si>
  <si>
    <t>-59.09000015258789</t>
  </si>
  <si>
    <t>-2.359999895095825</t>
  </si>
  <si>
    <t>WALMART.COM</t>
  </si>
  <si>
    <t>SILVER CROSSING SILVER SPRING NV Card #:0154</t>
  </si>
  <si>
    <t>SQ *LARRYS GOURMET CARSON CITY NV Card #:0154</t>
  </si>
  <si>
    <t>AMAZON MKTPL*N634F6CK2</t>
  </si>
  <si>
    <t>AUTOFORTIVA PMT PAYMENT   250527</t>
  </si>
  <si>
    <t>HIGH TECH COLLISION</t>
  </si>
  <si>
    <t>ONLINE BILL PAY</t>
  </si>
  <si>
    <t>TD AUTO FINANCE WEB PAY   250524</t>
  </si>
  <si>
    <t>AMAZON PRIME*NN5ZB7V60</t>
  </si>
  <si>
    <t>GAINWELL TECHNOLDIRECT DEP250530</t>
  </si>
  <si>
    <t>PIZZA FACTORY- SILVER SPR</t>
  </si>
  <si>
    <t>Amazon web services</t>
  </si>
  <si>
    <t>CTLP*INREACH</t>
  </si>
  <si>
    <t>PetSmart</t>
  </si>
  <si>
    <t>ATM Surcharge fees refund</t>
  </si>
  <si>
    <t>NV ENERGY NORTH SPPC PYMT</t>
  </si>
  <si>
    <t>BEST LIFE&amp;HEALTHPRIMARY</t>
  </si>
  <si>
    <t>FIREHOUSE SUBS 1013 MINDEN NV Card #:0154</t>
  </si>
  <si>
    <t>Gainwell TechnolLOA PAY   250603</t>
  </si>
  <si>
    <t>24 SEVEN SILVER SPGS Card #:0154</t>
  </si>
  <si>
    <t>DOLLAR GENERAL # DG SILVER SPRING NV Card #:0154</t>
  </si>
  <si>
    <t>THE SOCIAL BAR</t>
  </si>
  <si>
    <t>WHOLEFDS RNO 102 61 RENO NV Card #:0154</t>
  </si>
  <si>
    <t>AT&amp;amp;T FORDDATAPLAN</t>
  </si>
  <si>
    <t>YAHOO  *MAIL PLUS</t>
  </si>
  <si>
    <t>GAMES GALORE LLC RENO NV Card #:0154</t>
  </si>
  <si>
    <t>SHARE CHECK 1018</t>
  </si>
  <si>
    <t>TIRES PLUS 16861 RENO NV Card #:0154</t>
  </si>
  <si>
    <t>GAN*1011GAZETTEJRNCIRC</t>
  </si>
  <si>
    <t>TD AUTO FINANCE WEB PAY   250607</t>
  </si>
  <si>
    <t>CHASE CREDIT CRDEPAY      250611</t>
  </si>
  <si>
    <t>GAINWELL TECHNOLDIRECT DEP250613</t>
  </si>
  <si>
    <t>MSFT * E0600WFFDB</t>
  </si>
  <si>
    <t>SMITHS FO 2200 HWY. DAYTON Card #:0154</t>
  </si>
  <si>
    <t>STAGECOACH COUNTRY STAGECOACH Card #:0154</t>
  </si>
  <si>
    <t>9741 GREAT CLIPS AT DAYTON NV Card #:0154</t>
  </si>
  <si>
    <t>MISCELLANEOUS</t>
  </si>
  <si>
    <t>-150.94000244140625</t>
  </si>
  <si>
    <t>-81.48999786376953</t>
  </si>
  <si>
    <t>-74.79000091552734</t>
  </si>
  <si>
    <t>-27.0</t>
  </si>
  <si>
    <t>-5.590000152587891</t>
  </si>
  <si>
    <t>3.5</t>
  </si>
  <si>
    <t>-474.6400146484375</t>
  </si>
  <si>
    <t>-359.2200012207031</t>
  </si>
  <si>
    <t>-300.0</t>
  </si>
  <si>
    <t>-37.16999816894531</t>
  </si>
  <si>
    <t>30.00</t>
  </si>
  <si>
    <t>0.99</t>
  </si>
  <si>
    <t>7.278529377839301</t>
  </si>
  <si>
    <t>-280.9186845036395</t>
  </si>
  <si>
    <t>58.559526625946305</t>
  </si>
  <si>
    <t>82.25988870601427</t>
  </si>
  <si>
    <t>-1800.8292444740855</t>
  </si>
  <si>
    <t>-270.8304244836721</t>
  </si>
  <si>
    <t>-1154.3333943684897</t>
  </si>
  <si>
    <t>12.861842105263165</t>
  </si>
  <si>
    <t>8.360143274694048</t>
  </si>
  <si>
    <t>30.22990289135512</t>
  </si>
  <si>
    <t>-350.5681725704308</t>
  </si>
  <si>
    <t>-766.3478552776835</t>
  </si>
  <si>
    <t>-20.42982402600741</t>
  </si>
  <si>
    <t>-419.48486328125</t>
  </si>
  <si>
    <t>31.341266934833833</t>
  </si>
  <si>
    <t>-46.742424242424235</t>
  </si>
  <si>
    <t>CLOTHING</t>
  </si>
  <si>
    <t>40.54545547022963</t>
  </si>
  <si>
    <t>74.0909090909091</t>
  </si>
  <si>
    <t>-15.50793844556051</t>
  </si>
  <si>
    <t>-196.4615220289964</t>
  </si>
  <si>
    <t>TAXES</t>
  </si>
  <si>
    <t>-298.44000244140625</t>
  </si>
  <si>
    <t>-42.04871522428844</t>
  </si>
  <si>
    <t>Income Cumulative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</si>
</sst>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quot;#,##0.00"/>
    <numFmt numFmtId="165" formatCode="yyyy\-mm\-dd;@"/>
    <numFmt numFmtId="166" formatCode="[$-409]m/d/yy\ h:mm\ AM/PM;@"/>
    <numFmt numFmtId="167" formatCode="[h]:mm:ss;@"/>
    <numFmt numFmtId="168" formatCode="0.000"/>
  </numFmts>
  <fonts count="9" x14ac:knownFonts="1">
    <font>
      <sz val="12"/>
      <color theme="1"/>
      <name val="Calibri"/>
      <family val="2"/>
      <scheme val="minor"/>
    </font>
    <font>
      <sz val="8"/>
      <name val="Calibri"/>
      <family val="2"/>
      <scheme val="minor"/>
    </font>
    <font>
      <sz val="10"/>
      <color rgb="FF000000"/>
      <name val="Tahoma"/>
      <family val="2"/>
    </font>
    <font>
      <b/>
      <sz val="10"/>
      <color rgb="FF000000"/>
      <name val="Tahoma"/>
      <family val="2"/>
    </font>
    <font>
      <sz val="12"/>
      <color theme="5" tint="0.59999389629810485"/>
      <name val="Calibri"/>
      <family val="2"/>
      <scheme val="minor"/>
    </font>
    <font>
      <sz val="12"/>
      <color rgb="FF000000"/>
      <name val="Calibri"/>
      <family val="2"/>
      <scheme val="minor"/>
    </font>
    <font>
      <sz val="12"/>
      <name val="Calibri"/>
      <family val="2"/>
      <scheme val="minor"/>
    </font>
    <font>
      <sz val="11"/>
      <color rgb="FF000000"/>
      <name val="Menlo"/>
      <family val="2"/>
    </font>
    <font>
      <b/>
      <sz val="12"/>
      <color theme="0"/>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9" tint="0.79998168889431442"/>
        <bgColor theme="9" tint="0.79998168889431442"/>
      </patternFill>
    </fill>
    <fill>
      <patternFill patternType="solid">
        <fgColor theme="9"/>
        <bgColor theme="9"/>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53">
    <xf numFmtId="0" fontId="0" fillId="0" borderId="0" xfId="0"/>
    <xf numFmtId="164" fontId="0" fillId="0" borderId="0" xfId="0" applyNumberFormat="1"/>
    <xf numFmtId="49" fontId="0" fillId="0" borderId="0" xfId="0" applyNumberFormat="1"/>
    <xf numFmtId="165" fontId="0" fillId="0" borderId="0" xfId="0" applyNumberFormat="1"/>
    <xf numFmtId="2" fontId="0" fillId="0" borderId="0" xfId="0" applyNumberFormat="1"/>
    <xf numFmtId="0" fontId="0" fillId="2" borderId="0" xfId="0" applyFill="1"/>
    <xf numFmtId="22" fontId="0" fillId="3" borderId="0" xfId="0" applyNumberFormat="1" applyFill="1"/>
    <xf numFmtId="0" fontId="0" fillId="3" borderId="0" xfId="0" applyFill="1"/>
    <xf numFmtId="0" fontId="0" fillId="4" borderId="0" xfId="0" applyFill="1"/>
    <xf numFmtId="0" fontId="0" fillId="5" borderId="0" xfId="0" applyFill="1"/>
    <xf numFmtId="0" fontId="0" fillId="6" borderId="0" xfId="0" applyFill="1"/>
    <xf numFmtId="2" fontId="0" fillId="4" borderId="0" xfId="0" applyNumberFormat="1" applyFill="1"/>
    <xf numFmtId="2" fontId="0" fillId="5" borderId="0" xfId="0" applyNumberFormat="1" applyFill="1"/>
    <xf numFmtId="14" fontId="0" fillId="0" borderId="0" xfId="0" applyNumberFormat="1"/>
    <xf numFmtId="4" fontId="0" fillId="2" borderId="0" xfId="0" applyNumberFormat="1" applyFill="1"/>
    <xf numFmtId="0" fontId="4" fillId="0" borderId="0" xfId="0" applyFont="1"/>
    <xf numFmtId="0" fontId="5" fillId="0" borderId="0" xfId="0" applyFont="1"/>
    <xf numFmtId="164" fontId="6" fillId="0" borderId="0" xfId="0" applyNumberFormat="1" applyFont="1"/>
    <xf numFmtId="0" fontId="0" fillId="7" borderId="0" xfId="0" applyFill="1"/>
    <xf numFmtId="0" fontId="0" fillId="8" borderId="2" xfId="0" applyFill="1" applyBorder="1"/>
    <xf numFmtId="0" fontId="0" fillId="0" borderId="2" xfId="0" applyBorder="1"/>
    <xf numFmtId="14" fontId="0" fillId="8" borderId="1" xfId="0" applyNumberFormat="1" applyFill="1" applyBorder="1"/>
    <xf numFmtId="0" fontId="0" fillId="8" borderId="3" xfId="0" applyFill="1" applyBorder="1"/>
    <xf numFmtId="14" fontId="0" fillId="0" borderId="1" xfId="0" applyNumberFormat="1" applyBorder="1"/>
    <xf numFmtId="0" fontId="0" fillId="0" borderId="3" xfId="0" applyBorder="1"/>
    <xf numFmtId="17" fontId="0" fillId="0" borderId="0" xfId="0" applyNumberFormat="1"/>
    <xf numFmtId="166" fontId="0" fillId="0" borderId="0" xfId="0" applyNumberFormat="1"/>
    <xf numFmtId="13" fontId="0" fillId="0" borderId="0" xfId="0" applyNumberFormat="1"/>
    <xf numFmtId="10" fontId="0" fillId="0" borderId="0" xfId="0" applyNumberFormat="1"/>
    <xf numFmtId="167" fontId="0" fillId="0" borderId="0" xfId="0" applyNumberFormat="1"/>
    <xf numFmtId="12" fontId="0" fillId="0" borderId="0" xfId="0" applyNumberFormat="1"/>
    <xf numFmtId="168" fontId="0" fillId="0" borderId="0" xfId="0" applyNumberFormat="1"/>
    <xf numFmtId="16" fontId="0" fillId="0" borderId="0" xfId="0" applyNumberFormat="1"/>
    <xf numFmtId="46" fontId="0" fillId="0" borderId="0" xfId="0" applyNumberFormat="1"/>
    <xf numFmtId="22" fontId="0" fillId="0" borderId="0" xfId="0" applyNumberFormat="1"/>
    <xf numFmtId="20" fontId="0" fillId="0" borderId="0" xfId="0" applyNumberFormat="1"/>
    <xf numFmtId="21" fontId="0" fillId="0" borderId="0" xfId="0" applyNumberFormat="1"/>
    <xf numFmtId="2" fontId="0" fillId="8" borderId="2" xfId="0" applyNumberFormat="1" applyFill="1" applyBorder="1"/>
    <xf numFmtId="2" fontId="0" fillId="0" borderId="2" xfId="0" applyNumberFormat="1" applyBorder="1"/>
    <xf numFmtId="0" fontId="7" fillId="0" borderId="0" xfId="0" applyFont="1"/>
    <xf numFmtId="0" fontId="7" fillId="0" borderId="0" xfId="0" applyFont="1" applyAlignment="1">
      <alignment wrapText="1"/>
    </xf>
    <xf numFmtId="0" fontId="0" fillId="0" borderId="0" xfId="0" applyNumberFormat="1"/>
    <xf numFmtId="0" fontId="8" fillId="9" borderId="1" xfId="0" applyFont="1" applyFill="1" applyBorder="1"/>
    <xf numFmtId="0" fontId="8" fillId="9" borderId="2" xfId="0" applyFont="1" applyFill="1" applyBorder="1"/>
    <xf numFmtId="0" fontId="0" fillId="8" borderId="2" xfId="0" applyFont="1" applyFill="1" applyBorder="1"/>
    <xf numFmtId="0" fontId="0" fillId="0" borderId="2" xfId="0" applyFont="1" applyBorder="1"/>
    <xf numFmtId="0" fontId="8" fillId="9" borderId="3" xfId="0" applyFont="1" applyFill="1" applyBorder="1"/>
    <xf numFmtId="14" fontId="0" fillId="8" borderId="1" xfId="0" applyNumberFormat="1" applyFont="1" applyFill="1" applyBorder="1"/>
    <xf numFmtId="0" fontId="0" fillId="8" borderId="2" xfId="0" applyNumberFormat="1" applyFont="1" applyFill="1" applyBorder="1"/>
    <xf numFmtId="0" fontId="0" fillId="8" borderId="3" xfId="0" applyNumberFormat="1" applyFont="1" applyFill="1" applyBorder="1"/>
    <xf numFmtId="14" fontId="0" fillId="0" borderId="1" xfId="0" applyNumberFormat="1" applyFont="1" applyBorder="1"/>
    <xf numFmtId="0" fontId="0" fillId="0" borderId="2" xfId="0" applyNumberFormat="1" applyFont="1" applyBorder="1"/>
    <xf numFmtId="0" fontId="0" fillId="0" borderId="3" xfId="0" applyNumberFormat="1" applyFont="1" applyBorder="1"/>
  </cellXfs>
  <cellStyles count="1">
    <cellStyle name="Normal" xfId="0" builtinId="0"/>
  </cellStyles>
  <dxfs count="32">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2" formatCode="0.00"/>
    </dxf>
    <dxf>
      <numFmt numFmtId="0" formatCode="General"/>
    </dxf>
    <dxf>
      <numFmt numFmtId="0" formatCode="General"/>
    </dxf>
    <dxf>
      <numFmt numFmtId="14" formatCode="0.00%"/>
    </dxf>
    <dxf>
      <numFmt numFmtId="164" formatCode="&quot;$&quot;#,##0.00"/>
    </dxf>
    <dxf>
      <numFmt numFmtId="2" formatCode="0.00"/>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r>
              <a:rPr lang="en-US"/>
              <a:t>Zero Sum Graph</a:t>
            </a:r>
          </a:p>
        </c:rich>
      </c:tx>
      <c:overlay val="0"/>
      <c:spPr>
        <a:noFill/>
        <a:ln>
          <a:noFill/>
        </a:ln>
        <a:effectLst/>
      </c:spPr>
      <c:txPr>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1"/>
          <c:order val="0"/>
          <c:tx>
            <c:v>Cumulative Amount Spent</c:v>
          </c:tx>
          <c:spPr>
            <a:ln w="28575">
              <a:solidFill>
                <a:schemeClr val="accent2">
                  <a:alpha val="20000"/>
                </a:schemeClr>
              </a:solidFill>
            </a:ln>
            <a:effectLst/>
          </c:spPr>
          <c:marker>
            <c:symbol val="circle"/>
            <c:size val="4"/>
            <c:spPr>
              <a:solidFill>
                <a:schemeClr val="accent2"/>
              </a:solidFill>
              <a:ln w="9525" cap="flat" cmpd="sng" algn="ctr">
                <a:solidFill>
                  <a:schemeClr val="accent2"/>
                </a:solidFill>
                <a:round/>
              </a:ln>
              <a:effectLst/>
            </c:spPr>
          </c:marker>
          <c:trendline>
            <c:spPr>
              <a:ln w="63500" cap="rnd" cmpd="sng" algn="ctr">
                <a:solidFill>
                  <a:schemeClr val="accent6">
                    <a:lumMod val="50000"/>
                    <a:alpha val="25000"/>
                  </a:schemeClr>
                </a:solidFill>
                <a:round/>
              </a:ln>
              <a:effectLst/>
            </c:spPr>
            <c:trendlineType val="linear"/>
            <c:forward val="10"/>
            <c:backward val="1"/>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CashFlow!$S$2:$S$91</c:f>
              <c:numCache>
                <c:formatCode>General</c:formatCode>
                <c:ptCount val="90"/>
                <c:pt idx="0">
                  <c:v>1052</c:v>
                </c:pt>
                <c:pt idx="1">
                  <c:v>1052</c:v>
                </c:pt>
                <c:pt idx="2">
                  <c:v>1052</c:v>
                </c:pt>
                <c:pt idx="3">
                  <c:v>1052</c:v>
                </c:pt>
                <c:pt idx="4">
                  <c:v>1052</c:v>
                </c:pt>
                <c:pt idx="5">
                  <c:v>1053</c:v>
                </c:pt>
                <c:pt idx="6">
                  <c:v>1053</c:v>
                </c:pt>
                <c:pt idx="7">
                  <c:v>1053</c:v>
                </c:pt>
                <c:pt idx="8">
                  <c:v>1056</c:v>
                </c:pt>
                <c:pt idx="9">
                  <c:v>1057</c:v>
                </c:pt>
                <c:pt idx="10">
                  <c:v>1057</c:v>
                </c:pt>
                <c:pt idx="11">
                  <c:v>1058</c:v>
                </c:pt>
                <c:pt idx="12">
                  <c:v>1059</c:v>
                </c:pt>
                <c:pt idx="13">
                  <c:v>1059</c:v>
                </c:pt>
                <c:pt idx="14">
                  <c:v>1059</c:v>
                </c:pt>
                <c:pt idx="15">
                  <c:v>1059</c:v>
                </c:pt>
                <c:pt idx="16">
                  <c:v>1060</c:v>
                </c:pt>
                <c:pt idx="17">
                  <c:v>1060</c:v>
                </c:pt>
                <c:pt idx="18">
                  <c:v>1060</c:v>
                </c:pt>
                <c:pt idx="19">
                  <c:v>1061</c:v>
                </c:pt>
                <c:pt idx="20">
                  <c:v>1063</c:v>
                </c:pt>
                <c:pt idx="21">
                  <c:v>1064</c:v>
                </c:pt>
                <c:pt idx="22">
                  <c:v>1064</c:v>
                </c:pt>
                <c:pt idx="23">
                  <c:v>1064</c:v>
                </c:pt>
                <c:pt idx="24">
                  <c:v>1064</c:v>
                </c:pt>
                <c:pt idx="25">
                  <c:v>1064</c:v>
                </c:pt>
                <c:pt idx="26">
                  <c:v>1064</c:v>
                </c:pt>
                <c:pt idx="27">
                  <c:v>1064</c:v>
                </c:pt>
                <c:pt idx="28">
                  <c:v>1064</c:v>
                </c:pt>
                <c:pt idx="29">
                  <c:v>1064</c:v>
                </c:pt>
                <c:pt idx="30">
                  <c:v>1064</c:v>
                </c:pt>
                <c:pt idx="31">
                  <c:v>1064</c:v>
                </c:pt>
                <c:pt idx="32">
                  <c:v>1064</c:v>
                </c:pt>
                <c:pt idx="33">
                  <c:v>1064</c:v>
                </c:pt>
                <c:pt idx="34">
                  <c:v>1065</c:v>
                </c:pt>
                <c:pt idx="35">
                  <c:v>1065</c:v>
                </c:pt>
                <c:pt idx="36">
                  <c:v>1065</c:v>
                </c:pt>
                <c:pt idx="37">
                  <c:v>1065</c:v>
                </c:pt>
                <c:pt idx="38">
                  <c:v>1065</c:v>
                </c:pt>
                <c:pt idx="39">
                  <c:v>1065</c:v>
                </c:pt>
                <c:pt idx="40">
                  <c:v>1065</c:v>
                </c:pt>
                <c:pt idx="41">
                  <c:v>1065</c:v>
                </c:pt>
                <c:pt idx="42">
                  <c:v>1065</c:v>
                </c:pt>
                <c:pt idx="43">
                  <c:v>1065</c:v>
                </c:pt>
                <c:pt idx="44">
                  <c:v>1065</c:v>
                </c:pt>
                <c:pt idx="45">
                  <c:v>1065</c:v>
                </c:pt>
                <c:pt idx="46">
                  <c:v>1066</c:v>
                </c:pt>
                <c:pt idx="47">
                  <c:v>1066</c:v>
                </c:pt>
                <c:pt idx="48">
                  <c:v>1067</c:v>
                </c:pt>
                <c:pt idx="49">
                  <c:v>1067</c:v>
                </c:pt>
                <c:pt idx="50">
                  <c:v>1068</c:v>
                </c:pt>
                <c:pt idx="51">
                  <c:v>1069</c:v>
                </c:pt>
                <c:pt idx="52">
                  <c:v>1070</c:v>
                </c:pt>
                <c:pt idx="53">
                  <c:v>1070</c:v>
                </c:pt>
                <c:pt idx="54">
                  <c:v>1070</c:v>
                </c:pt>
                <c:pt idx="55">
                  <c:v>1070</c:v>
                </c:pt>
                <c:pt idx="56">
                  <c:v>1070</c:v>
                </c:pt>
                <c:pt idx="57">
                  <c:v>1070</c:v>
                </c:pt>
                <c:pt idx="58">
                  <c:v>1071</c:v>
                </c:pt>
                <c:pt idx="59">
                  <c:v>1071</c:v>
                </c:pt>
                <c:pt idx="60">
                  <c:v>1071</c:v>
                </c:pt>
                <c:pt idx="61">
                  <c:v>1071</c:v>
                </c:pt>
                <c:pt idx="62">
                  <c:v>1072</c:v>
                </c:pt>
                <c:pt idx="63">
                  <c:v>1072</c:v>
                </c:pt>
                <c:pt idx="64">
                  <c:v>1073</c:v>
                </c:pt>
                <c:pt idx="65">
                  <c:v>1073</c:v>
                </c:pt>
                <c:pt idx="66">
                  <c:v>1073</c:v>
                </c:pt>
                <c:pt idx="67">
                  <c:v>1073</c:v>
                </c:pt>
                <c:pt idx="68">
                  <c:v>1074</c:v>
                </c:pt>
                <c:pt idx="69">
                  <c:v>1075</c:v>
                </c:pt>
                <c:pt idx="70">
                  <c:v>1075</c:v>
                </c:pt>
                <c:pt idx="71">
                  <c:v>1075</c:v>
                </c:pt>
                <c:pt idx="72">
                  <c:v>1075</c:v>
                </c:pt>
                <c:pt idx="73">
                  <c:v>1076</c:v>
                </c:pt>
                <c:pt idx="74">
                  <c:v>1076</c:v>
                </c:pt>
                <c:pt idx="75">
                  <c:v>1077</c:v>
                </c:pt>
                <c:pt idx="76">
                  <c:v>1077</c:v>
                </c:pt>
                <c:pt idx="77">
                  <c:v>1077</c:v>
                </c:pt>
                <c:pt idx="78">
                  <c:v>1077</c:v>
                </c:pt>
                <c:pt idx="79">
                  <c:v>1078</c:v>
                </c:pt>
                <c:pt idx="80">
                  <c:v>1078</c:v>
                </c:pt>
                <c:pt idx="81">
                  <c:v>1078</c:v>
                </c:pt>
                <c:pt idx="82">
                  <c:v>1079</c:v>
                </c:pt>
                <c:pt idx="83">
                  <c:v>1079</c:v>
                </c:pt>
                <c:pt idx="84">
                  <c:v>1080</c:v>
                </c:pt>
                <c:pt idx="85">
                  <c:v>1080</c:v>
                </c:pt>
                <c:pt idx="86">
                  <c:v>1081</c:v>
                </c:pt>
                <c:pt idx="87">
                  <c:v>1081</c:v>
                </c:pt>
                <c:pt idx="88">
                  <c:v>1081</c:v>
                </c:pt>
                <c:pt idx="89">
                  <c:v>1082</c:v>
                </c:pt>
              </c:numCache>
            </c:numRef>
          </c:xVal>
          <c:yVal>
            <c:numRef>
              <c:f>CashFlow!$U$2:$U$91</c:f>
              <c:numCache>
                <c:formatCode>General</c:formatCode>
                <c:ptCount val="90"/>
                <c:pt idx="0">
                  <c:v>4</c:v>
                </c:pt>
                <c:pt idx="1">
                  <c:v>166.83000183105469</c:v>
                </c:pt>
                <c:pt idx="2">
                  <c:v>166.83000183105469</c:v>
                </c:pt>
                <c:pt idx="3">
                  <c:v>206.83000183105469</c:v>
                </c:pt>
                <c:pt idx="4">
                  <c:v>220.67000198364258</c:v>
                </c:pt>
                <c:pt idx="5">
                  <c:v>220.67000198364258</c:v>
                </c:pt>
                <c:pt idx="6">
                  <c:v>223.75000190734863</c:v>
                </c:pt>
                <c:pt idx="7">
                  <c:v>241.97000122070312</c:v>
                </c:pt>
                <c:pt idx="8">
                  <c:v>241.97000122070312</c:v>
                </c:pt>
                <c:pt idx="9">
                  <c:v>426.97000122070312</c:v>
                </c:pt>
                <c:pt idx="10">
                  <c:v>431.96000099182129</c:v>
                </c:pt>
                <c:pt idx="11">
                  <c:v>443.75000095367432</c:v>
                </c:pt>
                <c:pt idx="12">
                  <c:v>454.74000072479248</c:v>
                </c:pt>
                <c:pt idx="13">
                  <c:v>556.69999980926514</c:v>
                </c:pt>
                <c:pt idx="14">
                  <c:v>563.23000001907349</c:v>
                </c:pt>
                <c:pt idx="15">
                  <c:v>603.23000001907349</c:v>
                </c:pt>
                <c:pt idx="16">
                  <c:v>687.74000215530396</c:v>
                </c:pt>
                <c:pt idx="17">
                  <c:v>691.63000226020813</c:v>
                </c:pt>
                <c:pt idx="18">
                  <c:v>702.46000218391418</c:v>
                </c:pt>
                <c:pt idx="19">
                  <c:v>703.18000221252441</c:v>
                </c:pt>
                <c:pt idx="20">
                  <c:v>785.16000556945801</c:v>
                </c:pt>
                <c:pt idx="21">
                  <c:v>785.16000556945801</c:v>
                </c:pt>
                <c:pt idx="22">
                  <c:v>788.15000557899475</c:v>
                </c:pt>
                <c:pt idx="23">
                  <c:v>825.66000390052795</c:v>
                </c:pt>
                <c:pt idx="24">
                  <c:v>852.56000351905823</c:v>
                </c:pt>
                <c:pt idx="25">
                  <c:v>863.8300039768219</c:v>
                </c:pt>
                <c:pt idx="26">
                  <c:v>871.7200038433075</c:v>
                </c:pt>
                <c:pt idx="27">
                  <c:v>881.7200038433075</c:v>
                </c:pt>
                <c:pt idx="28">
                  <c:v>881.7200038433075</c:v>
                </c:pt>
                <c:pt idx="29">
                  <c:v>921.7200038433075</c:v>
                </c:pt>
                <c:pt idx="30">
                  <c:v>943.81000399589539</c:v>
                </c:pt>
                <c:pt idx="31">
                  <c:v>949.73000407218933</c:v>
                </c:pt>
                <c:pt idx="32">
                  <c:v>1073.7300040721893</c:v>
                </c:pt>
                <c:pt idx="33">
                  <c:v>1123.7300040721893</c:v>
                </c:pt>
                <c:pt idx="34">
                  <c:v>1166.560005903244</c:v>
                </c:pt>
                <c:pt idx="35">
                  <c:v>1191.1900050640106</c:v>
                </c:pt>
                <c:pt idx="36">
                  <c:v>1216.7200057506561</c:v>
                </c:pt>
                <c:pt idx="37">
                  <c:v>1219.0100057125092</c:v>
                </c:pt>
                <c:pt idx="38">
                  <c:v>1231.770005941391</c:v>
                </c:pt>
                <c:pt idx="39">
                  <c:v>1231.770005941391</c:v>
                </c:pt>
                <c:pt idx="40">
                  <c:v>1243.770005941391</c:v>
                </c:pt>
                <c:pt idx="41">
                  <c:v>1243.770005941391</c:v>
                </c:pt>
                <c:pt idx="42">
                  <c:v>1758.770005941391</c:v>
                </c:pt>
                <c:pt idx="43">
                  <c:v>1832.1000077724457</c:v>
                </c:pt>
                <c:pt idx="44">
                  <c:v>2273.9800126552582</c:v>
                </c:pt>
                <c:pt idx="45">
                  <c:v>2333.4400117397308</c:v>
                </c:pt>
                <c:pt idx="46">
                  <c:v>2348.430011510849</c:v>
                </c:pt>
                <c:pt idx="47">
                  <c:v>2348.430011510849</c:v>
                </c:pt>
                <c:pt idx="48">
                  <c:v>2348.430011510849</c:v>
                </c:pt>
                <c:pt idx="49">
                  <c:v>2364.9100110530853</c:v>
                </c:pt>
                <c:pt idx="50">
                  <c:v>2364.9100110530853</c:v>
                </c:pt>
                <c:pt idx="51">
                  <c:v>2374.9000108242035</c:v>
                </c:pt>
                <c:pt idx="52">
                  <c:v>2374.9000108242035</c:v>
                </c:pt>
                <c:pt idx="53">
                  <c:v>2377.2600107192993</c:v>
                </c:pt>
                <c:pt idx="54">
                  <c:v>2382.3600106239319</c:v>
                </c:pt>
                <c:pt idx="55">
                  <c:v>2385.5100107192993</c:v>
                </c:pt>
                <c:pt idx="56">
                  <c:v>2460.3000116348267</c:v>
                </c:pt>
                <c:pt idx="57">
                  <c:v>2519.3900117874146</c:v>
                </c:pt>
                <c:pt idx="58">
                  <c:v>2524.9800119400024</c:v>
                </c:pt>
                <c:pt idx="59">
                  <c:v>2538.9000120162964</c:v>
                </c:pt>
                <c:pt idx="60">
                  <c:v>2898.1200132369995</c:v>
                </c:pt>
                <c:pt idx="61">
                  <c:v>2938.1200132369995</c:v>
                </c:pt>
                <c:pt idx="62">
                  <c:v>2941.5100133419037</c:v>
                </c:pt>
                <c:pt idx="63">
                  <c:v>3063.2500112056732</c:v>
                </c:pt>
                <c:pt idx="64">
                  <c:v>3066.3400111198425</c:v>
                </c:pt>
                <c:pt idx="65">
                  <c:v>3069.8300111293793</c:v>
                </c:pt>
                <c:pt idx="66">
                  <c:v>3088.8200109004974</c:v>
                </c:pt>
                <c:pt idx="67">
                  <c:v>3128.8200109004974</c:v>
                </c:pt>
                <c:pt idx="68">
                  <c:v>3132.3100109100342</c:v>
                </c:pt>
                <c:pt idx="69">
                  <c:v>3144.3100109100342</c:v>
                </c:pt>
                <c:pt idx="70">
                  <c:v>3154.3100109100342</c:v>
                </c:pt>
                <c:pt idx="71">
                  <c:v>3159.3100109100342</c:v>
                </c:pt>
                <c:pt idx="72">
                  <c:v>3364.7900066375732</c:v>
                </c:pt>
                <c:pt idx="73">
                  <c:v>3384.8200073242188</c:v>
                </c:pt>
                <c:pt idx="74">
                  <c:v>3389.8200073242188</c:v>
                </c:pt>
                <c:pt idx="75">
                  <c:v>3394.1000075340271</c:v>
                </c:pt>
                <c:pt idx="76">
                  <c:v>3397.3400075435638</c:v>
                </c:pt>
                <c:pt idx="77">
                  <c:v>3697.3400075435638</c:v>
                </c:pt>
                <c:pt idx="78">
                  <c:v>4171.9800221920013</c:v>
                </c:pt>
                <c:pt idx="79">
                  <c:v>4174.5700221061707</c:v>
                </c:pt>
                <c:pt idx="80">
                  <c:v>4189.550021648407</c:v>
                </c:pt>
                <c:pt idx="81">
                  <c:v>4631.4300265312195</c:v>
                </c:pt>
                <c:pt idx="82">
                  <c:v>4637.3100266456604</c:v>
                </c:pt>
                <c:pt idx="83">
                  <c:v>4637.3100266456604</c:v>
                </c:pt>
                <c:pt idx="84">
                  <c:v>4637.3100266456604</c:v>
                </c:pt>
                <c:pt idx="85">
                  <c:v>4637.3100266456604</c:v>
                </c:pt>
                <c:pt idx="86">
                  <c:v>4649.8100266456604</c:v>
                </c:pt>
                <c:pt idx="87">
                  <c:v>4727.5300278663635</c:v>
                </c:pt>
                <c:pt idx="88">
                  <c:v>4730.5200278759003</c:v>
                </c:pt>
                <c:pt idx="89">
                  <c:v>4757.5200278759003</c:v>
                </c:pt>
              </c:numCache>
            </c:numRef>
          </c:yVal>
          <c:smooth val="0"/>
          <c:extLst>
            <c:ext xmlns:c16="http://schemas.microsoft.com/office/drawing/2014/chart" uri="{C3380CC4-5D6E-409C-BE32-E72D297353CC}">
              <c16:uniqueId val="{00000005-2FB8-A54D-A385-64E21106874C}"/>
            </c:ext>
          </c:extLst>
        </c:ser>
        <c:ser>
          <c:idx val="0"/>
          <c:order val="1"/>
          <c:tx>
            <c:v>CashFlow Zero Sum Graph</c:v>
          </c:tx>
          <c:spPr>
            <a:ln w="28575">
              <a:solidFill>
                <a:schemeClr val="accent1">
                  <a:alpha val="20000"/>
                </a:schemeClr>
              </a:solidFill>
            </a:ln>
            <a:effectLst/>
          </c:spPr>
          <c:marker>
            <c:symbol val="circle"/>
            <c:size val="4"/>
            <c:spPr>
              <a:solidFill>
                <a:schemeClr val="accent1"/>
              </a:solidFill>
              <a:ln w="9525" cap="flat" cmpd="sng" algn="ctr">
                <a:solidFill>
                  <a:schemeClr val="accent1"/>
                </a:solidFill>
                <a:round/>
              </a:ln>
              <a:effectLst/>
            </c:spPr>
          </c:marker>
          <c:dPt>
            <c:idx val="17"/>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0-2FB8-A54D-A385-64E21106874C}"/>
              </c:ext>
            </c:extLst>
          </c:dPt>
          <c:dPt>
            <c:idx val="30"/>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1-2FB8-A54D-A385-64E21106874C}"/>
              </c:ext>
            </c:extLst>
          </c:dPt>
          <c:trendline>
            <c:spPr>
              <a:ln w="63500" cap="rnd" cmpd="sng" algn="ctr">
                <a:solidFill>
                  <a:schemeClr val="accent1">
                    <a:alpha val="25000"/>
                  </a:schemeClr>
                </a:solidFill>
                <a:round/>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CashFlow!$X$2:$X$63</c:f>
              <c:numCache>
                <c:formatCode>0.00</c:formatCode>
                <c:ptCount val="62"/>
                <c:pt idx="0">
                  <c:v>1051</c:v>
                </c:pt>
                <c:pt idx="1">
                  <c:v>1081.4100000000001</c:v>
                </c:pt>
              </c:numCache>
            </c:numRef>
          </c:xVal>
          <c:yVal>
            <c:numRef>
              <c:f>CashFlow!$Y$2:$Y$63</c:f>
              <c:numCache>
                <c:formatCode>0.00</c:formatCode>
                <c:ptCount val="62"/>
                <c:pt idx="0" formatCode="General">
                  <c:v>0</c:v>
                </c:pt>
                <c:pt idx="1">
                  <c:v>0</c:v>
                </c:pt>
              </c:numCache>
            </c:numRef>
          </c:yVal>
          <c:smooth val="0"/>
          <c:extLst>
            <c:ext xmlns:c16="http://schemas.microsoft.com/office/drawing/2014/chart" uri="{C3380CC4-5D6E-409C-BE32-E72D297353CC}">
              <c16:uniqueId val="{00000003-2FB8-A54D-A385-64E21106874C}"/>
            </c:ext>
          </c:extLst>
        </c:ser>
        <c:ser>
          <c:idx val="2"/>
          <c:order val="2"/>
          <c:tx>
            <c:v>Income</c:v>
          </c:tx>
          <c:spPr>
            <a:ln w="28575">
              <a:solidFill>
                <a:schemeClr val="accent3">
                  <a:alpha val="20000"/>
                </a:schemeClr>
              </a:solidFill>
            </a:ln>
            <a:effectLst/>
          </c:spPr>
          <c:marker>
            <c:symbol val="circle"/>
            <c:size val="4"/>
            <c:spPr>
              <a:solidFill>
                <a:schemeClr val="accent3"/>
              </a:solidFill>
              <a:ln w="9525" cap="flat" cmpd="sng" algn="ctr">
                <a:solidFill>
                  <a:schemeClr val="accent3"/>
                </a:solidFill>
                <a:round/>
              </a:ln>
              <a:effectLst/>
            </c:spPr>
          </c:marker>
          <c:trendline>
            <c:spPr>
              <a:ln w="63500" cap="rnd" cmpd="sng" algn="ctr">
                <a:solidFill>
                  <a:schemeClr val="accent2">
                    <a:lumMod val="60000"/>
                    <a:lumOff val="40000"/>
                    <a:alpha val="25000"/>
                  </a:schemeClr>
                </a:solidFill>
                <a:round/>
              </a:ln>
              <a:effectLst/>
            </c:spPr>
            <c:trendlineType val="linear"/>
            <c:forward val="10"/>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CashFlow!$S$2:$S$91</c:f>
              <c:numCache>
                <c:formatCode>General</c:formatCode>
                <c:ptCount val="90"/>
                <c:pt idx="0">
                  <c:v>1052</c:v>
                </c:pt>
                <c:pt idx="1">
                  <c:v>1052</c:v>
                </c:pt>
                <c:pt idx="2">
                  <c:v>1052</c:v>
                </c:pt>
                <c:pt idx="3">
                  <c:v>1052</c:v>
                </c:pt>
                <c:pt idx="4">
                  <c:v>1052</c:v>
                </c:pt>
                <c:pt idx="5">
                  <c:v>1053</c:v>
                </c:pt>
                <c:pt idx="6">
                  <c:v>1053</c:v>
                </c:pt>
                <c:pt idx="7">
                  <c:v>1053</c:v>
                </c:pt>
                <c:pt idx="8">
                  <c:v>1056</c:v>
                </c:pt>
                <c:pt idx="9">
                  <c:v>1057</c:v>
                </c:pt>
                <c:pt idx="10">
                  <c:v>1057</c:v>
                </c:pt>
                <c:pt idx="11">
                  <c:v>1058</c:v>
                </c:pt>
                <c:pt idx="12">
                  <c:v>1059</c:v>
                </c:pt>
                <c:pt idx="13">
                  <c:v>1059</c:v>
                </c:pt>
                <c:pt idx="14">
                  <c:v>1059</c:v>
                </c:pt>
                <c:pt idx="15">
                  <c:v>1059</c:v>
                </c:pt>
                <c:pt idx="16">
                  <c:v>1060</c:v>
                </c:pt>
                <c:pt idx="17">
                  <c:v>1060</c:v>
                </c:pt>
                <c:pt idx="18">
                  <c:v>1060</c:v>
                </c:pt>
                <c:pt idx="19">
                  <c:v>1061</c:v>
                </c:pt>
                <c:pt idx="20">
                  <c:v>1063</c:v>
                </c:pt>
                <c:pt idx="21">
                  <c:v>1064</c:v>
                </c:pt>
                <c:pt idx="22">
                  <c:v>1064</c:v>
                </c:pt>
                <c:pt idx="23">
                  <c:v>1064</c:v>
                </c:pt>
                <c:pt idx="24">
                  <c:v>1064</c:v>
                </c:pt>
                <c:pt idx="25">
                  <c:v>1064</c:v>
                </c:pt>
                <c:pt idx="26">
                  <c:v>1064</c:v>
                </c:pt>
                <c:pt idx="27">
                  <c:v>1064</c:v>
                </c:pt>
                <c:pt idx="28">
                  <c:v>1064</c:v>
                </c:pt>
                <c:pt idx="29">
                  <c:v>1064</c:v>
                </c:pt>
                <c:pt idx="30">
                  <c:v>1064</c:v>
                </c:pt>
                <c:pt idx="31">
                  <c:v>1064</c:v>
                </c:pt>
                <c:pt idx="32">
                  <c:v>1064</c:v>
                </c:pt>
                <c:pt idx="33">
                  <c:v>1064</c:v>
                </c:pt>
                <c:pt idx="34">
                  <c:v>1065</c:v>
                </c:pt>
                <c:pt idx="35">
                  <c:v>1065</c:v>
                </c:pt>
                <c:pt idx="36">
                  <c:v>1065</c:v>
                </c:pt>
                <c:pt idx="37">
                  <c:v>1065</c:v>
                </c:pt>
                <c:pt idx="38">
                  <c:v>1065</c:v>
                </c:pt>
                <c:pt idx="39">
                  <c:v>1065</c:v>
                </c:pt>
                <c:pt idx="40">
                  <c:v>1065</c:v>
                </c:pt>
                <c:pt idx="41">
                  <c:v>1065</c:v>
                </c:pt>
                <c:pt idx="42">
                  <c:v>1065</c:v>
                </c:pt>
                <c:pt idx="43">
                  <c:v>1065</c:v>
                </c:pt>
                <c:pt idx="44">
                  <c:v>1065</c:v>
                </c:pt>
                <c:pt idx="45">
                  <c:v>1065</c:v>
                </c:pt>
                <c:pt idx="46">
                  <c:v>1066</c:v>
                </c:pt>
                <c:pt idx="47">
                  <c:v>1066</c:v>
                </c:pt>
                <c:pt idx="48">
                  <c:v>1067</c:v>
                </c:pt>
                <c:pt idx="49">
                  <c:v>1067</c:v>
                </c:pt>
                <c:pt idx="50">
                  <c:v>1068</c:v>
                </c:pt>
                <c:pt idx="51">
                  <c:v>1069</c:v>
                </c:pt>
                <c:pt idx="52">
                  <c:v>1070</c:v>
                </c:pt>
                <c:pt idx="53">
                  <c:v>1070</c:v>
                </c:pt>
                <c:pt idx="54">
                  <c:v>1070</c:v>
                </c:pt>
                <c:pt idx="55">
                  <c:v>1070</c:v>
                </c:pt>
                <c:pt idx="56">
                  <c:v>1070</c:v>
                </c:pt>
                <c:pt idx="57">
                  <c:v>1070</c:v>
                </c:pt>
                <c:pt idx="58">
                  <c:v>1071</c:v>
                </c:pt>
                <c:pt idx="59">
                  <c:v>1071</c:v>
                </c:pt>
                <c:pt idx="60">
                  <c:v>1071</c:v>
                </c:pt>
                <c:pt idx="61">
                  <c:v>1071</c:v>
                </c:pt>
                <c:pt idx="62">
                  <c:v>1072</c:v>
                </c:pt>
                <c:pt idx="63">
                  <c:v>1072</c:v>
                </c:pt>
                <c:pt idx="64">
                  <c:v>1073</c:v>
                </c:pt>
                <c:pt idx="65">
                  <c:v>1073</c:v>
                </c:pt>
                <c:pt idx="66">
                  <c:v>1073</c:v>
                </c:pt>
                <c:pt idx="67">
                  <c:v>1073</c:v>
                </c:pt>
                <c:pt idx="68">
                  <c:v>1074</c:v>
                </c:pt>
                <c:pt idx="69">
                  <c:v>1075</c:v>
                </c:pt>
                <c:pt idx="70">
                  <c:v>1075</c:v>
                </c:pt>
                <c:pt idx="71">
                  <c:v>1075</c:v>
                </c:pt>
                <c:pt idx="72">
                  <c:v>1075</c:v>
                </c:pt>
                <c:pt idx="73">
                  <c:v>1076</c:v>
                </c:pt>
                <c:pt idx="74">
                  <c:v>1076</c:v>
                </c:pt>
                <c:pt idx="75">
                  <c:v>1077</c:v>
                </c:pt>
                <c:pt idx="76">
                  <c:v>1077</c:v>
                </c:pt>
                <c:pt idx="77">
                  <c:v>1077</c:v>
                </c:pt>
                <c:pt idx="78">
                  <c:v>1077</c:v>
                </c:pt>
                <c:pt idx="79">
                  <c:v>1078</c:v>
                </c:pt>
                <c:pt idx="80">
                  <c:v>1078</c:v>
                </c:pt>
                <c:pt idx="81">
                  <c:v>1078</c:v>
                </c:pt>
                <c:pt idx="82">
                  <c:v>1079</c:v>
                </c:pt>
                <c:pt idx="83">
                  <c:v>1079</c:v>
                </c:pt>
                <c:pt idx="84">
                  <c:v>1080</c:v>
                </c:pt>
                <c:pt idx="85">
                  <c:v>1080</c:v>
                </c:pt>
                <c:pt idx="86">
                  <c:v>1081</c:v>
                </c:pt>
                <c:pt idx="87">
                  <c:v>1081</c:v>
                </c:pt>
                <c:pt idx="88">
                  <c:v>1081</c:v>
                </c:pt>
                <c:pt idx="89">
                  <c:v>1082</c:v>
                </c:pt>
              </c:numCache>
            </c:numRef>
          </c:xVal>
          <c:yVal>
            <c:numRef>
              <c:f>CashFlow!$W$2:$W$193</c:f>
              <c:numCache>
                <c:formatCode>General</c:formatCode>
                <c:ptCount val="192"/>
                <c:pt idx="0">
                  <c:v>0</c:v>
                </c:pt>
                <c:pt idx="1">
                  <c:v>0</c:v>
                </c:pt>
                <c:pt idx="2">
                  <c:v>1681.6500244140625</c:v>
                </c:pt>
                <c:pt idx="3">
                  <c:v>1681.6500244140625</c:v>
                </c:pt>
                <c:pt idx="4">
                  <c:v>1681.6500244140625</c:v>
                </c:pt>
                <c:pt idx="5">
                  <c:v>1681.6500244140625</c:v>
                </c:pt>
                <c:pt idx="6">
                  <c:v>1681.6500244140625</c:v>
                </c:pt>
                <c:pt idx="7">
                  <c:v>1681.6500244140625</c:v>
                </c:pt>
                <c:pt idx="8">
                  <c:v>2299.300048828125</c:v>
                </c:pt>
                <c:pt idx="9">
                  <c:v>2299.300048828125</c:v>
                </c:pt>
                <c:pt idx="10">
                  <c:v>2299.300048828125</c:v>
                </c:pt>
                <c:pt idx="11">
                  <c:v>2299.300048828125</c:v>
                </c:pt>
                <c:pt idx="12">
                  <c:v>2299.300048828125</c:v>
                </c:pt>
                <c:pt idx="13">
                  <c:v>2299.300048828125</c:v>
                </c:pt>
                <c:pt idx="14">
                  <c:v>2299.300048828125</c:v>
                </c:pt>
                <c:pt idx="15">
                  <c:v>2299.300048828125</c:v>
                </c:pt>
                <c:pt idx="16">
                  <c:v>2299.300048828125</c:v>
                </c:pt>
                <c:pt idx="17">
                  <c:v>2299.300048828125</c:v>
                </c:pt>
                <c:pt idx="18">
                  <c:v>2299.300048828125</c:v>
                </c:pt>
                <c:pt idx="19">
                  <c:v>2299.300048828125</c:v>
                </c:pt>
                <c:pt idx="20">
                  <c:v>2299.300048828125</c:v>
                </c:pt>
                <c:pt idx="21">
                  <c:v>3019.9100341796875</c:v>
                </c:pt>
                <c:pt idx="22">
                  <c:v>3019.9100341796875</c:v>
                </c:pt>
                <c:pt idx="23">
                  <c:v>3019.9100341796875</c:v>
                </c:pt>
                <c:pt idx="24">
                  <c:v>3019.9100341796875</c:v>
                </c:pt>
                <c:pt idx="25">
                  <c:v>3019.9100341796875</c:v>
                </c:pt>
                <c:pt idx="26">
                  <c:v>3019.9100341796875</c:v>
                </c:pt>
                <c:pt idx="27">
                  <c:v>3019.9100341796875</c:v>
                </c:pt>
                <c:pt idx="28">
                  <c:v>3029.9100341796875</c:v>
                </c:pt>
                <c:pt idx="29">
                  <c:v>3029.9100341796875</c:v>
                </c:pt>
                <c:pt idx="30">
                  <c:v>3029.9100341796875</c:v>
                </c:pt>
                <c:pt idx="31">
                  <c:v>3029.9100341796875</c:v>
                </c:pt>
                <c:pt idx="32">
                  <c:v>3029.9100341796875</c:v>
                </c:pt>
                <c:pt idx="33">
                  <c:v>3029.9100341796875</c:v>
                </c:pt>
                <c:pt idx="34">
                  <c:v>3029.9100341796875</c:v>
                </c:pt>
                <c:pt idx="35">
                  <c:v>3029.9100341796875</c:v>
                </c:pt>
                <c:pt idx="36">
                  <c:v>3029.9100341796875</c:v>
                </c:pt>
                <c:pt idx="37">
                  <c:v>3029.9100341796875</c:v>
                </c:pt>
                <c:pt idx="38">
                  <c:v>3029.9100341796875</c:v>
                </c:pt>
                <c:pt idx="39">
                  <c:v>3128.4400329589844</c:v>
                </c:pt>
                <c:pt idx="40">
                  <c:v>3128.4400329589844</c:v>
                </c:pt>
                <c:pt idx="41">
                  <c:v>3140.4400329589844</c:v>
                </c:pt>
                <c:pt idx="42">
                  <c:v>3140.4400329589844</c:v>
                </c:pt>
                <c:pt idx="43">
                  <c:v>3140.4400329589844</c:v>
                </c:pt>
                <c:pt idx="44">
                  <c:v>3140.4400329589844</c:v>
                </c:pt>
                <c:pt idx="45">
                  <c:v>3140.4400329589844</c:v>
                </c:pt>
                <c:pt idx="46">
                  <c:v>3140.4400329589844</c:v>
                </c:pt>
                <c:pt idx="47">
                  <c:v>3155.6000328063965</c:v>
                </c:pt>
                <c:pt idx="48">
                  <c:v>3773.250057220459</c:v>
                </c:pt>
                <c:pt idx="49">
                  <c:v>3773.250057220459</c:v>
                </c:pt>
                <c:pt idx="50">
                  <c:v>3789.2300567626953</c:v>
                </c:pt>
                <c:pt idx="51">
                  <c:v>3789.2300567626953</c:v>
                </c:pt>
                <c:pt idx="52">
                  <c:v>3792.7300567626953</c:v>
                </c:pt>
                <c:pt idx="53">
                  <c:v>3792.7300567626953</c:v>
                </c:pt>
                <c:pt idx="54">
                  <c:v>3792.7300567626953</c:v>
                </c:pt>
                <c:pt idx="55">
                  <c:v>3792.7300567626953</c:v>
                </c:pt>
                <c:pt idx="56">
                  <c:v>3792.7300567626953</c:v>
                </c:pt>
                <c:pt idx="57">
                  <c:v>3792.7300567626953</c:v>
                </c:pt>
                <c:pt idx="58">
                  <c:v>3792.7300567626953</c:v>
                </c:pt>
                <c:pt idx="59">
                  <c:v>3792.7300567626953</c:v>
                </c:pt>
                <c:pt idx="60">
                  <c:v>3792.7300567626953</c:v>
                </c:pt>
                <c:pt idx="61">
                  <c:v>3792.7300567626953</c:v>
                </c:pt>
                <c:pt idx="62">
                  <c:v>3792.7300567626953</c:v>
                </c:pt>
                <c:pt idx="63">
                  <c:v>3792.7300567626953</c:v>
                </c:pt>
                <c:pt idx="64">
                  <c:v>3792.7300567626953</c:v>
                </c:pt>
                <c:pt idx="65">
                  <c:v>3792.7300567626953</c:v>
                </c:pt>
                <c:pt idx="66">
                  <c:v>3792.7300567626953</c:v>
                </c:pt>
                <c:pt idx="67">
                  <c:v>3792.7300567626953</c:v>
                </c:pt>
                <c:pt idx="68">
                  <c:v>3792.7300567626953</c:v>
                </c:pt>
                <c:pt idx="69">
                  <c:v>3792.7300567626953</c:v>
                </c:pt>
                <c:pt idx="70">
                  <c:v>3792.7300567626953</c:v>
                </c:pt>
                <c:pt idx="71">
                  <c:v>3792.7300567626953</c:v>
                </c:pt>
                <c:pt idx="72">
                  <c:v>3792.7300567626953</c:v>
                </c:pt>
                <c:pt idx="73">
                  <c:v>3792.7300567626953</c:v>
                </c:pt>
                <c:pt idx="74">
                  <c:v>3792.7300567626953</c:v>
                </c:pt>
                <c:pt idx="75">
                  <c:v>3792.7300567626953</c:v>
                </c:pt>
                <c:pt idx="76">
                  <c:v>3792.7300567626953</c:v>
                </c:pt>
                <c:pt idx="77">
                  <c:v>3792.7300567626953</c:v>
                </c:pt>
                <c:pt idx="78">
                  <c:v>3792.7300567626953</c:v>
                </c:pt>
                <c:pt idx="79">
                  <c:v>3792.7300567626953</c:v>
                </c:pt>
                <c:pt idx="80">
                  <c:v>3792.7300567626953</c:v>
                </c:pt>
                <c:pt idx="81">
                  <c:v>3792.7300567626953</c:v>
                </c:pt>
                <c:pt idx="82">
                  <c:v>3792.7300567626953</c:v>
                </c:pt>
                <c:pt idx="83">
                  <c:v>4975.0900421142578</c:v>
                </c:pt>
                <c:pt idx="84">
                  <c:v>4975.0900421142578</c:v>
                </c:pt>
                <c:pt idx="85">
                  <c:v>7852.3200225830078</c:v>
                </c:pt>
                <c:pt idx="86">
                  <c:v>7852.3200225830078</c:v>
                </c:pt>
                <c:pt idx="87">
                  <c:v>7852.3200225830078</c:v>
                </c:pt>
                <c:pt idx="88">
                  <c:v>7852.3200225830078</c:v>
                </c:pt>
                <c:pt idx="89">
                  <c:v>7852.3200225830078</c:v>
                </c:pt>
                <c:pt idx="90">
                  <c:v>7852.3200225830078</c:v>
                </c:pt>
                <c:pt idx="91">
                  <c:v>7852.3200225830078</c:v>
                </c:pt>
                <c:pt idx="92">
                  <c:v>7852.3200225830078</c:v>
                </c:pt>
                <c:pt idx="93">
                  <c:v>7852.3200225830078</c:v>
                </c:pt>
                <c:pt idx="94">
                  <c:v>7852.3200225830078</c:v>
                </c:pt>
                <c:pt idx="95">
                  <c:v>7852.3200225830078</c:v>
                </c:pt>
                <c:pt idx="96">
                  <c:v>7852.3200225830078</c:v>
                </c:pt>
                <c:pt idx="97">
                  <c:v>7852.3200225830078</c:v>
                </c:pt>
                <c:pt idx="98">
                  <c:v>7852.3200225830078</c:v>
                </c:pt>
                <c:pt idx="99">
                  <c:v>7852.3200225830078</c:v>
                </c:pt>
                <c:pt idx="100">
                  <c:v>7852.3200225830078</c:v>
                </c:pt>
                <c:pt idx="101">
                  <c:v>7852.3200225830078</c:v>
                </c:pt>
                <c:pt idx="102">
                  <c:v>7852.3200225830078</c:v>
                </c:pt>
                <c:pt idx="103">
                  <c:v>7852.3200225830078</c:v>
                </c:pt>
                <c:pt idx="104">
                  <c:v>7852.3200225830078</c:v>
                </c:pt>
                <c:pt idx="105">
                  <c:v>7852.3200225830078</c:v>
                </c:pt>
                <c:pt idx="106">
                  <c:v>7852.3200225830078</c:v>
                </c:pt>
                <c:pt idx="107">
                  <c:v>7852.3200225830078</c:v>
                </c:pt>
                <c:pt idx="108">
                  <c:v>7852.3200225830078</c:v>
                </c:pt>
                <c:pt idx="109">
                  <c:v>7852.3200225830078</c:v>
                </c:pt>
                <c:pt idx="110">
                  <c:v>7852.3200225830078</c:v>
                </c:pt>
                <c:pt idx="111">
                  <c:v>7852.3200225830078</c:v>
                </c:pt>
                <c:pt idx="112">
                  <c:v>7852.3200225830078</c:v>
                </c:pt>
                <c:pt idx="113">
                  <c:v>7852.3200225830078</c:v>
                </c:pt>
                <c:pt idx="114">
                  <c:v>7852.3200225830078</c:v>
                </c:pt>
                <c:pt idx="115">
                  <c:v>7852.3200225830078</c:v>
                </c:pt>
                <c:pt idx="116">
                  <c:v>7852.3200225830078</c:v>
                </c:pt>
                <c:pt idx="117">
                  <c:v>7852.3200225830078</c:v>
                </c:pt>
                <c:pt idx="118">
                  <c:v>7852.3200225830078</c:v>
                </c:pt>
                <c:pt idx="119">
                  <c:v>7852.3200225830078</c:v>
                </c:pt>
                <c:pt idx="120">
                  <c:v>7852.3200225830078</c:v>
                </c:pt>
                <c:pt idx="121">
                  <c:v>7852.3200225830078</c:v>
                </c:pt>
                <c:pt idx="122">
                  <c:v>7852.3200225830078</c:v>
                </c:pt>
                <c:pt idx="123">
                  <c:v>7852.3200225830078</c:v>
                </c:pt>
                <c:pt idx="124">
                  <c:v>7852.3200225830078</c:v>
                </c:pt>
                <c:pt idx="125">
                  <c:v>7852.3200225830078</c:v>
                </c:pt>
                <c:pt idx="126">
                  <c:v>7852.3200225830078</c:v>
                </c:pt>
                <c:pt idx="127">
                  <c:v>7852.3200225830078</c:v>
                </c:pt>
                <c:pt idx="128">
                  <c:v>7852.3200225830078</c:v>
                </c:pt>
                <c:pt idx="129">
                  <c:v>7852.3200225830078</c:v>
                </c:pt>
                <c:pt idx="130">
                  <c:v>7852.3200225830078</c:v>
                </c:pt>
                <c:pt idx="131">
                  <c:v>7852.3200225830078</c:v>
                </c:pt>
                <c:pt idx="132">
                  <c:v>7852.3200225830078</c:v>
                </c:pt>
                <c:pt idx="133">
                  <c:v>7852.3200225830078</c:v>
                </c:pt>
                <c:pt idx="134">
                  <c:v>7852.3200225830078</c:v>
                </c:pt>
                <c:pt idx="135">
                  <c:v>7852.3200225830078</c:v>
                </c:pt>
                <c:pt idx="136">
                  <c:v>7852.3200225830078</c:v>
                </c:pt>
                <c:pt idx="137">
                  <c:v>7852.3200225830078</c:v>
                </c:pt>
                <c:pt idx="138">
                  <c:v>7852.3200225830078</c:v>
                </c:pt>
                <c:pt idx="139">
                  <c:v>7852.3200225830078</c:v>
                </c:pt>
                <c:pt idx="140">
                  <c:v>7852.3200225830078</c:v>
                </c:pt>
                <c:pt idx="141">
                  <c:v>7852.3200225830078</c:v>
                </c:pt>
                <c:pt idx="142">
                  <c:v>7852.3200225830078</c:v>
                </c:pt>
                <c:pt idx="143">
                  <c:v>7852.3200225830078</c:v>
                </c:pt>
                <c:pt idx="144">
                  <c:v>7852.3200225830078</c:v>
                </c:pt>
                <c:pt idx="145">
                  <c:v>7852.3200225830078</c:v>
                </c:pt>
                <c:pt idx="146">
                  <c:v>7852.3200225830078</c:v>
                </c:pt>
                <c:pt idx="147">
                  <c:v>7852.3200225830078</c:v>
                </c:pt>
                <c:pt idx="148">
                  <c:v>7852.3200225830078</c:v>
                </c:pt>
                <c:pt idx="149">
                  <c:v>7852.3200225830078</c:v>
                </c:pt>
                <c:pt idx="150">
                  <c:v>7852.3200225830078</c:v>
                </c:pt>
                <c:pt idx="151">
                  <c:v>7852.3200225830078</c:v>
                </c:pt>
                <c:pt idx="152">
                  <c:v>7852.3200225830078</c:v>
                </c:pt>
                <c:pt idx="153">
                  <c:v>7852.3200225830078</c:v>
                </c:pt>
                <c:pt idx="154">
                  <c:v>7852.3200225830078</c:v>
                </c:pt>
                <c:pt idx="155">
                  <c:v>7852.3200225830078</c:v>
                </c:pt>
                <c:pt idx="156">
                  <c:v>7852.3200225830078</c:v>
                </c:pt>
                <c:pt idx="157">
                  <c:v>7852.3200225830078</c:v>
                </c:pt>
                <c:pt idx="158">
                  <c:v>7852.3200225830078</c:v>
                </c:pt>
                <c:pt idx="159">
                  <c:v>7852.3200225830078</c:v>
                </c:pt>
                <c:pt idx="160">
                  <c:v>7852.3200225830078</c:v>
                </c:pt>
                <c:pt idx="161">
                  <c:v>7852.3200225830078</c:v>
                </c:pt>
                <c:pt idx="162">
                  <c:v>7852.3200225830078</c:v>
                </c:pt>
                <c:pt idx="163">
                  <c:v>7852.3200225830078</c:v>
                </c:pt>
                <c:pt idx="164">
                  <c:v>7852.3200225830078</c:v>
                </c:pt>
                <c:pt idx="165">
                  <c:v>7852.3200225830078</c:v>
                </c:pt>
                <c:pt idx="166">
                  <c:v>7852.3200225830078</c:v>
                </c:pt>
                <c:pt idx="167">
                  <c:v>7852.3200225830078</c:v>
                </c:pt>
                <c:pt idx="168">
                  <c:v>7852.3200225830078</c:v>
                </c:pt>
                <c:pt idx="169">
                  <c:v>7852.3200225830078</c:v>
                </c:pt>
                <c:pt idx="170">
                  <c:v>7852.3200225830078</c:v>
                </c:pt>
                <c:pt idx="171">
                  <c:v>7852.3200225830078</c:v>
                </c:pt>
                <c:pt idx="172">
                  <c:v>7852.3200225830078</c:v>
                </c:pt>
                <c:pt idx="173">
                  <c:v>7852.3200225830078</c:v>
                </c:pt>
                <c:pt idx="174">
                  <c:v>7852.3200225830078</c:v>
                </c:pt>
                <c:pt idx="175">
                  <c:v>7852.3200225830078</c:v>
                </c:pt>
                <c:pt idx="176">
                  <c:v>7852.3200225830078</c:v>
                </c:pt>
                <c:pt idx="177">
                  <c:v>7852.3200225830078</c:v>
                </c:pt>
                <c:pt idx="178">
                  <c:v>7852.3200225830078</c:v>
                </c:pt>
                <c:pt idx="179">
                  <c:v>7852.3200225830078</c:v>
                </c:pt>
                <c:pt idx="180">
                  <c:v>7852.3200225830078</c:v>
                </c:pt>
                <c:pt idx="181">
                  <c:v>7852.3200225830078</c:v>
                </c:pt>
                <c:pt idx="182">
                  <c:v>7852.3200225830078</c:v>
                </c:pt>
                <c:pt idx="183">
                  <c:v>7852.3200225830078</c:v>
                </c:pt>
                <c:pt idx="184">
                  <c:v>7852.3200225830078</c:v>
                </c:pt>
                <c:pt idx="185">
                  <c:v>7852.3200225830078</c:v>
                </c:pt>
                <c:pt idx="186">
                  <c:v>7852.3200225830078</c:v>
                </c:pt>
                <c:pt idx="187">
                  <c:v>7852.3200225830078</c:v>
                </c:pt>
                <c:pt idx="188">
                  <c:v>7852.3200225830078</c:v>
                </c:pt>
                <c:pt idx="189">
                  <c:v>7852.3200225830078</c:v>
                </c:pt>
                <c:pt idx="190">
                  <c:v>7852.3200225830078</c:v>
                </c:pt>
                <c:pt idx="191">
                  <c:v>7852.3200225830078</c:v>
                </c:pt>
              </c:numCache>
            </c:numRef>
          </c:yVal>
          <c:smooth val="0"/>
          <c:extLst>
            <c:ext xmlns:c16="http://schemas.microsoft.com/office/drawing/2014/chart" uri="{C3380CC4-5D6E-409C-BE32-E72D297353CC}">
              <c16:uniqueId val="{00000007-2FB8-A54D-A385-64E21106874C}"/>
            </c:ext>
          </c:extLst>
        </c:ser>
        <c:dLbls>
          <c:showLegendKey val="0"/>
          <c:showVal val="0"/>
          <c:showCatName val="0"/>
          <c:showSerName val="0"/>
          <c:showPercent val="0"/>
          <c:showBubbleSize val="0"/>
        </c:dLbls>
        <c:axId val="593436799"/>
        <c:axId val="593438447"/>
      </c:scatterChart>
      <c:valAx>
        <c:axId val="593436799"/>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8447"/>
        <c:crosses val="autoZero"/>
        <c:crossBetween val="midCat"/>
      </c:valAx>
      <c:valAx>
        <c:axId val="59343844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679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BudgetPieChart!$B$1</c:f>
              <c:strCache>
                <c:ptCount val="1"/>
                <c:pt idx="0">
                  <c:v>Column2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C-DC4A-86DB-C88B18FFA3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C-DC4A-86DB-C88B18FFA3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C-DC4A-86DB-C88B18FFA3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C-DC4A-86DB-C88B18FFA3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C-DC4A-86DB-C88B18FFA35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C-DC4A-86DB-C88B18FFA35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C-DC4A-86DB-C88B18FFA35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C-DC4A-86DB-C88B18FFA35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C-DC4A-86DB-C88B18FFA35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1DDC-DC4A-86DB-C88B18FFA35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1DDC-DC4A-86DB-C88B18FFA35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1DDC-DC4A-86DB-C88B18FFA35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0104-AC48-A282-DE9F3314FD5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0104-AC48-A282-DE9F3314FD5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0104-AC48-A282-DE9F3314FD5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0104-AC48-A282-DE9F3314FD5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0104-AC48-A282-DE9F3314FD5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0104-AC48-A282-DE9F3314FD5A}"/>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0104-AC48-A282-DE9F3314FD5A}"/>
              </c:ext>
            </c:extLst>
          </c:dPt>
          <c:dPt>
            <c:idx val="19"/>
            <c:bubble3D val="0"/>
            <c:spPr>
              <a:solidFill>
                <a:schemeClr val="accent2">
                  <a:lumMod val="80000"/>
                </a:schemeClr>
              </a:solidFill>
              <a:ln w="19050">
                <a:solidFill>
                  <a:schemeClr val="lt1"/>
                </a:solidFill>
              </a:ln>
              <a:effectLst/>
            </c:spPr>
          </c:dPt>
          <c:dPt>
            <c:idx val="20"/>
            <c:bubble3D val="0"/>
            <c:spPr>
              <a:solidFill>
                <a:schemeClr val="accent3">
                  <a:lumMod val="80000"/>
                </a:schemeClr>
              </a:solidFill>
              <a:ln w="19050">
                <a:solidFill>
                  <a:schemeClr val="lt1"/>
                </a:solidFill>
              </a:ln>
              <a:effectLst/>
            </c:spPr>
          </c:dPt>
          <c:dPt>
            <c:idx val="21"/>
            <c:bubble3D val="0"/>
            <c:spPr>
              <a:solidFill>
                <a:schemeClr val="accent4">
                  <a:lumMod val="8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BudgetPieChart!$A$2:$A$23</c:f>
              <c:strCache>
                <c:ptCount val="22"/>
                <c:pt idx="0">
                  <c:v>AUTOMAINTENANCE</c:v>
                </c:pt>
                <c:pt idx="1">
                  <c:v>AUTO FINANCE</c:v>
                </c:pt>
                <c:pt idx="2">
                  <c:v>HOUSEHOLD</c:v>
                </c:pt>
                <c:pt idx="3">
                  <c:v>GAS</c:v>
                </c:pt>
                <c:pt idx="4">
                  <c:v>FOOD/GROCERIES</c:v>
                </c:pt>
                <c:pt idx="5">
                  <c:v>MEDICAL/DENTAL/VISION INSURANCE</c:v>
                </c:pt>
                <c:pt idx="6">
                  <c:v>DOCTOR/HOSPITAL</c:v>
                </c:pt>
                <c:pt idx="7">
                  <c:v>MEDICAL/DENTAL/VISION</c:v>
                </c:pt>
                <c:pt idx="8">
                  <c:v>UTILITIES : INTERNET</c:v>
                </c:pt>
                <c:pt idx="9">
                  <c:v>AUTOINSURANCE</c:v>
                </c:pt>
                <c:pt idx="10">
                  <c:v>INTERNET SERVICE</c:v>
                </c:pt>
                <c:pt idx="11">
                  <c:v>DININGOUT</c:v>
                </c:pt>
                <c:pt idx="12">
                  <c:v>UTILITIES : ELECTRICITY</c:v>
                </c:pt>
                <c:pt idx="13">
                  <c:v>PETCARE</c:v>
                </c:pt>
                <c:pt idx="14">
                  <c:v>BOOKS/EDUCATION</c:v>
                </c:pt>
                <c:pt idx="15">
                  <c:v>LEGAL/DEBT</c:v>
                </c:pt>
                <c:pt idx="16">
                  <c:v>MISCELLANEOUS</c:v>
                </c:pt>
                <c:pt idx="17">
                  <c:v>HEALTHINSURANCE</c:v>
                </c:pt>
                <c:pt idx="18">
                  <c:v>TRANSPORTATION/AUTO</c:v>
                </c:pt>
                <c:pt idx="19">
                  <c:v>COMPUTERSOFTWARE/HARDWARE</c:v>
                </c:pt>
                <c:pt idx="20">
                  <c:v>GIFTS/DONATIONS</c:v>
                </c:pt>
                <c:pt idx="21">
                  <c:v>CASH</c:v>
                </c:pt>
              </c:strCache>
            </c:strRef>
          </c:cat>
          <c:val>
            <c:numRef>
              <c:f>BudgetPieChart!$B$2:$B$23</c:f>
              <c:numCache>
                <c:formatCode>General</c:formatCode>
                <c:ptCount val="22"/>
                <c:pt idx="0">
                  <c:v>-989.6400146484375</c:v>
                </c:pt>
                <c:pt idx="1">
                  <c:v>-883.760009765625</c:v>
                </c:pt>
                <c:pt idx="2">
                  <c:v>-394.91998291015625</c:v>
                </c:pt>
                <c:pt idx="3">
                  <c:v>-389.57998657226562</c:v>
                </c:pt>
                <c:pt idx="4">
                  <c:v>-386.95001220703125</c:v>
                </c:pt>
                <c:pt idx="5">
                  <c:v>-373.05999755859375</c:v>
                </c:pt>
                <c:pt idx="6">
                  <c:v>-248.91999816894531</c:v>
                </c:pt>
                <c:pt idx="7">
                  <c:v>-185</c:v>
                </c:pt>
                <c:pt idx="8">
                  <c:v>-174</c:v>
                </c:pt>
                <c:pt idx="9">
                  <c:v>-162.83000183105469</c:v>
                </c:pt>
                <c:pt idx="10">
                  <c:v>-115.44999694824219</c:v>
                </c:pt>
                <c:pt idx="11">
                  <c:v>-77.790000915527344</c:v>
                </c:pt>
                <c:pt idx="12">
                  <c:v>-74.790000915527344</c:v>
                </c:pt>
                <c:pt idx="13">
                  <c:v>-59.090000152587891</c:v>
                </c:pt>
                <c:pt idx="14">
                  <c:v>-42.830001831054688</c:v>
                </c:pt>
                <c:pt idx="15">
                  <c:v>-40</c:v>
                </c:pt>
                <c:pt idx="16">
                  <c:v>-27</c:v>
                </c:pt>
                <c:pt idx="17">
                  <c:v>-5.5900001525878906</c:v>
                </c:pt>
                <c:pt idx="18">
                  <c:v>-3.4300003051757812</c:v>
                </c:pt>
                <c:pt idx="19">
                  <c:v>-2.3599998950958252</c:v>
                </c:pt>
                <c:pt idx="20">
                  <c:v>0</c:v>
                </c:pt>
                <c:pt idx="21">
                  <c:v>3.5</c:v>
                </c:pt>
              </c:numCache>
            </c:numRef>
          </c:val>
          <c:extLst>
            <c:ext xmlns:c16="http://schemas.microsoft.com/office/drawing/2014/chart" uri="{C3380CC4-5D6E-409C-BE32-E72D297353CC}">
              <c16:uniqueId val="{00000018-1DDC-DC4A-86DB-C88B18FFA35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4">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a:solidFill>
          <a:schemeClr val="phClr">
            <a:alpha val="20000"/>
          </a:schemeClr>
        </a:solidFill>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25</xdr:col>
      <xdr:colOff>665306</xdr:colOff>
      <xdr:row>5</xdr:row>
      <xdr:rowOff>101029</xdr:rowOff>
    </xdr:from>
    <xdr:to>
      <xdr:col>36</xdr:col>
      <xdr:colOff>303068</xdr:colOff>
      <xdr:row>35</xdr:row>
      <xdr:rowOff>101022</xdr:rowOff>
    </xdr:to>
    <xdr:graphicFrame macro="">
      <xdr:nvGraphicFramePr>
        <xdr:cNvPr id="2" name="Chart 1">
          <a:extLst>
            <a:ext uri="{FF2B5EF4-FFF2-40B4-BE49-F238E27FC236}">
              <a16:creationId xmlns:a16="http://schemas.microsoft.com/office/drawing/2014/main" id="{28DB4BCF-58A1-FEB6-948C-535200C74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457200</xdr:colOff>
      <xdr:row>1</xdr:row>
      <xdr:rowOff>12700</xdr:rowOff>
    </xdr:from>
    <xdr:to>
      <xdr:col>16</xdr:col>
      <xdr:colOff>57150</xdr:colOff>
      <xdr:row>32</xdr:row>
      <xdr:rowOff>101600</xdr:rowOff>
    </xdr:to>
    <xdr:graphicFrame macro="">
      <xdr:nvGraphicFramePr>
        <xdr:cNvPr id="2" name="Chart 1">
          <a:extLst>
            <a:ext uri="{FF2B5EF4-FFF2-40B4-BE49-F238E27FC236}">
              <a16:creationId xmlns:a16="http://schemas.microsoft.com/office/drawing/2014/main" id="{AC25CDF8-5549-1E4C-9EEB-8D1255A6C5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johnbyrneconsulting-my.sharepoint.com/personal/jbyrne_johnbyrneconsulting_onmicrosoft_com/Documents/finance/milesPerGallonCalculation.xlsx" TargetMode="External"/><Relationship Id="rId1" Type="http://schemas.openxmlformats.org/officeDocument/2006/relationships/externalLinkPath" Target="https://johnbyrneconsulting-my.sharepoint.com/personal/jbyrne_johnbyrneconsulting_onmicrosoft_com/Documents/finance/milesPerGallonCalcula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ruckNumbers"/>
      <sheetName val="GasNumbers"/>
      <sheetName val="RandomCalcs"/>
    </sheetNames>
    <sheetDataSet>
      <sheetData sheetId="0">
        <row r="1">
          <cell r="A1" t="str">
            <v>Date and time</v>
          </cell>
          <cell r="B1" t="str">
            <v>Driving mode</v>
          </cell>
          <cell r="C1" t="str">
            <v>trip location(s) (Include idle time)</v>
          </cell>
          <cell r="D1" t="str">
            <v>Reason</v>
          </cell>
          <cell r="E1" t="str">
            <v>Recorded MPG</v>
          </cell>
          <cell r="F1" t="str">
            <v>Trip one time</v>
          </cell>
          <cell r="G1" t="str">
            <v>Trip Miles</v>
          </cell>
          <cell r="H1" t="str">
            <v>Tank reading</v>
          </cell>
          <cell r="I1" t="str">
            <v>Miles</v>
          </cell>
          <cell r="J1" t="str">
            <v>MilesTo E</v>
          </cell>
          <cell r="L1" t="str">
            <v xml:space="preserve">Starting mileage </v>
          </cell>
          <cell r="M1" t="str">
            <v>Trip time calc (Hours)</v>
          </cell>
          <cell r="N1" t="str">
            <v>Avg. m/h</v>
          </cell>
          <cell r="O1" t="str">
            <v>Cost of Trip</v>
          </cell>
          <cell r="P1" t="str">
            <v>Dollars/Mile</v>
          </cell>
          <cell r="Q1" t="str">
            <v>$/Gal</v>
          </cell>
          <cell r="R1" t="str">
            <v>Tank Reading dec.</v>
          </cell>
          <cell r="S1" t="str">
            <v>I Forgot</v>
          </cell>
          <cell r="T1" t="str">
            <v>Trip one time</v>
          </cell>
          <cell r="U1" t="str">
            <v>Trip Miles Calculated</v>
          </cell>
          <cell r="V1" t="str">
            <v>Miles</v>
          </cell>
          <cell r="W1" t="str">
            <v>Difference btwn Calc&amp;Manual</v>
          </cell>
          <cell r="X1" t="str">
            <v>Calc Gal Used II</v>
          </cell>
        </row>
        <row r="2">
          <cell r="A2" t="str">
            <v>Process(es)</v>
          </cell>
          <cell r="K2" t="str">
            <v>:</v>
          </cell>
        </row>
        <row r="3">
          <cell r="A3" t="str">
            <v>After each trip, record information in this sheet.  You may be late for an appointment if you record at the beginning.  There's less pressure when you get home.</v>
          </cell>
        </row>
        <row r="4">
          <cell r="A4" t="str">
            <v>After each gas fill-up reset Trip B.  Trip B should be used for Gas tank measurements all together to double check other numbers.  Use Trip B for Entire Gas tank (Measure at gas pump)</v>
          </cell>
          <cell r="X4" t="str">
            <v>Gas tank size (in gallons)</v>
          </cell>
        </row>
        <row r="5">
          <cell r="A5" t="str">
            <v>Use Trip A for individual trips between fill-ups.</v>
          </cell>
          <cell r="X5">
            <v>32</v>
          </cell>
        </row>
        <row r="9">
          <cell r="A9">
            <v>45791</v>
          </cell>
          <cell r="G9" t="e">
            <v>#VALUE!</v>
          </cell>
          <cell r="M9">
            <v>0</v>
          </cell>
          <cell r="P9" t="e">
            <v>#VALUE!</v>
          </cell>
          <cell r="Q9">
            <v>4.1989999999999998</v>
          </cell>
        </row>
        <row r="10">
          <cell r="A10">
            <v>45796</v>
          </cell>
          <cell r="E10">
            <v>16.899999999999999</v>
          </cell>
          <cell r="G10">
            <v>11578.6</v>
          </cell>
          <cell r="I10">
            <v>11578.6</v>
          </cell>
          <cell r="M10">
            <v>0</v>
          </cell>
          <cell r="P10">
            <v>0</v>
          </cell>
          <cell r="Q10">
            <v>4.1989999999999998</v>
          </cell>
        </row>
        <row r="11">
          <cell r="A11">
            <v>45796</v>
          </cell>
          <cell r="G11">
            <v>7.7999999999992724</v>
          </cell>
          <cell r="H11" t="str">
            <v>5/8</v>
          </cell>
          <cell r="I11">
            <v>11586.4</v>
          </cell>
          <cell r="M11">
            <v>0</v>
          </cell>
          <cell r="P11">
            <v>0</v>
          </cell>
          <cell r="Q11">
            <v>4.1989999999999998</v>
          </cell>
          <cell r="R11">
            <v>0.625</v>
          </cell>
        </row>
        <row r="12">
          <cell r="A12">
            <v>45796</v>
          </cell>
          <cell r="E12">
            <v>16.399999999999999</v>
          </cell>
          <cell r="F12">
            <v>1.1624884259259258</v>
          </cell>
          <cell r="G12">
            <v>7</v>
          </cell>
          <cell r="H12" t="str">
            <v xml:space="preserve">9/16 </v>
          </cell>
          <cell r="I12">
            <v>11593.4</v>
          </cell>
          <cell r="M12">
            <v>27.89972222222222</v>
          </cell>
          <cell r="O12">
            <v>0</v>
          </cell>
          <cell r="P12">
            <v>0</v>
          </cell>
          <cell r="Q12">
            <v>4.1989999999999998</v>
          </cell>
          <cell r="R12">
            <v>0.5625</v>
          </cell>
          <cell r="S12" t="b">
            <v>0</v>
          </cell>
          <cell r="T12">
            <v>0</v>
          </cell>
          <cell r="U12">
            <v>7.7999999999992724</v>
          </cell>
          <cell r="V12">
            <v>11586.4</v>
          </cell>
          <cell r="W12">
            <v>0</v>
          </cell>
          <cell r="X12">
            <v>2</v>
          </cell>
        </row>
        <row r="13">
          <cell r="A13">
            <v>45796</v>
          </cell>
          <cell r="E13">
            <v>0</v>
          </cell>
          <cell r="F13">
            <v>0</v>
          </cell>
          <cell r="G13">
            <v>0</v>
          </cell>
          <cell r="H13" t="str">
            <v>9/16</v>
          </cell>
          <cell r="I13">
            <v>11593.4</v>
          </cell>
          <cell r="M13">
            <v>0</v>
          </cell>
          <cell r="N13" t="e">
            <v>#DIV/0!</v>
          </cell>
          <cell r="O13">
            <v>0</v>
          </cell>
          <cell r="P13" t="e">
            <v>#DIV/0!</v>
          </cell>
          <cell r="Q13">
            <v>4.1989999999999998</v>
          </cell>
          <cell r="R13">
            <v>0.5625</v>
          </cell>
          <cell r="S13" t="b">
            <v>0</v>
          </cell>
          <cell r="T13">
            <v>0</v>
          </cell>
          <cell r="U13">
            <v>7</v>
          </cell>
          <cell r="V13">
            <v>11593.4</v>
          </cell>
          <cell r="W13">
            <v>0</v>
          </cell>
          <cell r="X13">
            <v>0</v>
          </cell>
        </row>
        <row r="14">
          <cell r="A14">
            <v>45796.706944444442</v>
          </cell>
          <cell r="E14">
            <v>0</v>
          </cell>
          <cell r="F14">
            <v>1.1087962962962963E-2</v>
          </cell>
          <cell r="G14">
            <v>0</v>
          </cell>
          <cell r="H14" t="str">
            <v>9/16</v>
          </cell>
          <cell r="I14">
            <v>11593.4</v>
          </cell>
          <cell r="M14">
            <v>0.26611111111111108</v>
          </cell>
          <cell r="N14">
            <v>0</v>
          </cell>
          <cell r="O14">
            <v>0</v>
          </cell>
          <cell r="P14" t="e">
            <v>#DIV/0!</v>
          </cell>
          <cell r="Q14">
            <v>4.1989999999999998</v>
          </cell>
          <cell r="R14">
            <v>0.5625</v>
          </cell>
          <cell r="S14" t="b">
            <v>0</v>
          </cell>
          <cell r="T14">
            <v>0</v>
          </cell>
          <cell r="U14">
            <v>0</v>
          </cell>
          <cell r="V14">
            <v>11593.4</v>
          </cell>
          <cell r="W14">
            <v>0</v>
          </cell>
          <cell r="X14">
            <v>0</v>
          </cell>
        </row>
        <row r="15">
          <cell r="A15">
            <v>45797.617361111108</v>
          </cell>
          <cell r="E15">
            <v>19.2</v>
          </cell>
          <cell r="F15">
            <v>7.3831018518518518E-2</v>
          </cell>
          <cell r="G15">
            <v>63.300000000001091</v>
          </cell>
          <cell r="H15">
            <v>0.4375</v>
          </cell>
          <cell r="I15">
            <v>11656.7</v>
          </cell>
          <cell r="M15">
            <v>1.5058333333333334</v>
          </cell>
          <cell r="N15">
            <v>42.036524626453406</v>
          </cell>
          <cell r="O15">
            <v>0</v>
          </cell>
          <cell r="P15">
            <v>0</v>
          </cell>
          <cell r="Q15">
            <v>4.1989999999999998</v>
          </cell>
          <cell r="R15">
            <v>0.4375</v>
          </cell>
          <cell r="S15" t="b">
            <v>0</v>
          </cell>
          <cell r="T15">
            <v>0</v>
          </cell>
          <cell r="U15">
            <v>0</v>
          </cell>
          <cell r="V15">
            <v>11593.4</v>
          </cell>
          <cell r="W15">
            <v>0</v>
          </cell>
          <cell r="X15">
            <v>4</v>
          </cell>
        </row>
        <row r="16">
          <cell r="A16" t="str">
            <v>5/21/25 at 9:43 AM</v>
          </cell>
          <cell r="E16">
            <v>19.8</v>
          </cell>
          <cell r="F16">
            <v>3.1770833333333331E-2</v>
          </cell>
          <cell r="G16">
            <v>21.299999999999272</v>
          </cell>
          <cell r="H16">
            <v>0.375</v>
          </cell>
          <cell r="I16">
            <v>11678</v>
          </cell>
          <cell r="L16">
            <v>0</v>
          </cell>
          <cell r="M16">
            <v>0.76249999999999996</v>
          </cell>
          <cell r="N16">
            <v>27.934426229507245</v>
          </cell>
          <cell r="O16">
            <v>0</v>
          </cell>
          <cell r="P16">
            <v>0</v>
          </cell>
          <cell r="Q16">
            <v>4.1989999999999998</v>
          </cell>
          <cell r="R16">
            <v>0.375</v>
          </cell>
          <cell r="S16" t="b">
            <v>0</v>
          </cell>
          <cell r="T16">
            <v>0</v>
          </cell>
          <cell r="U16">
            <v>63.300000000001091</v>
          </cell>
          <cell r="V16">
            <v>11656.7</v>
          </cell>
          <cell r="W16">
            <v>0</v>
          </cell>
          <cell r="X16">
            <v>2</v>
          </cell>
        </row>
        <row r="17">
          <cell r="A17">
            <v>45798.759027777778</v>
          </cell>
          <cell r="E17">
            <v>18.7</v>
          </cell>
          <cell r="F17">
            <v>4.3425925925925923E-2</v>
          </cell>
          <cell r="G17">
            <v>12.100000000000364</v>
          </cell>
          <cell r="H17">
            <v>0.375</v>
          </cell>
          <cell r="I17">
            <v>11690.1</v>
          </cell>
          <cell r="L17">
            <v>0</v>
          </cell>
          <cell r="M17">
            <v>0.27972222222222221</v>
          </cell>
          <cell r="N17">
            <v>43.257199602781839</v>
          </cell>
          <cell r="O17">
            <v>0</v>
          </cell>
          <cell r="P17">
            <v>0</v>
          </cell>
          <cell r="Q17">
            <v>4.1989999999999998</v>
          </cell>
          <cell r="R17">
            <v>0.375</v>
          </cell>
          <cell r="S17" t="b">
            <v>0</v>
          </cell>
          <cell r="T17">
            <v>0</v>
          </cell>
          <cell r="U17">
            <v>21.299999999999272</v>
          </cell>
          <cell r="V17">
            <v>11678</v>
          </cell>
          <cell r="W17">
            <v>0</v>
          </cell>
          <cell r="X17">
            <v>0</v>
          </cell>
        </row>
        <row r="18">
          <cell r="A18">
            <v>45798</v>
          </cell>
          <cell r="E18">
            <v>15.3</v>
          </cell>
          <cell r="F18">
            <v>3.7465277777777778E-2</v>
          </cell>
          <cell r="G18">
            <v>15.899999999999636</v>
          </cell>
          <cell r="H18">
            <v>0.375</v>
          </cell>
          <cell r="I18">
            <v>11706</v>
          </cell>
          <cell r="L18">
            <v>0</v>
          </cell>
          <cell r="M18">
            <v>0.89916666666666667</v>
          </cell>
          <cell r="N18">
            <v>17.683039851714145</v>
          </cell>
          <cell r="O18">
            <v>0</v>
          </cell>
          <cell r="P18">
            <v>0</v>
          </cell>
          <cell r="Q18">
            <v>4.1989999999999998</v>
          </cell>
          <cell r="R18">
            <v>0.375</v>
          </cell>
          <cell r="S18" t="b">
            <v>0</v>
          </cell>
          <cell r="T18">
            <v>0</v>
          </cell>
          <cell r="U18">
            <v>12.100000000000364</v>
          </cell>
          <cell r="V18">
            <v>11690.1</v>
          </cell>
          <cell r="W18">
            <v>0</v>
          </cell>
          <cell r="X18">
            <v>0</v>
          </cell>
        </row>
        <row r="19">
          <cell r="A19">
            <v>45799.320833333331</v>
          </cell>
          <cell r="E19">
            <v>14.4</v>
          </cell>
          <cell r="F19">
            <v>4.6759259259259257E-2</v>
          </cell>
          <cell r="G19">
            <v>3.5</v>
          </cell>
          <cell r="H19">
            <v>0.375</v>
          </cell>
          <cell r="I19">
            <v>11709.5</v>
          </cell>
          <cell r="L19">
            <v>0</v>
          </cell>
          <cell r="M19">
            <v>0.22305555555555551</v>
          </cell>
          <cell r="N19">
            <v>15.691158156911586</v>
          </cell>
          <cell r="O19">
            <v>0</v>
          </cell>
          <cell r="P19">
            <v>0</v>
          </cell>
          <cell r="Q19">
            <v>4.1989999999999998</v>
          </cell>
          <cell r="R19">
            <v>0.375</v>
          </cell>
          <cell r="S19" t="b">
            <v>0</v>
          </cell>
          <cell r="T19">
            <v>0</v>
          </cell>
          <cell r="U19">
            <v>15.899999999999636</v>
          </cell>
          <cell r="V19">
            <v>11706</v>
          </cell>
          <cell r="W19">
            <v>0</v>
          </cell>
          <cell r="X19">
            <v>0</v>
          </cell>
        </row>
        <row r="20">
          <cell r="A20">
            <v>45799.326388888891</v>
          </cell>
          <cell r="C20" t="str">
            <v>Idle?</v>
          </cell>
          <cell r="E20">
            <v>14.4</v>
          </cell>
          <cell r="F20">
            <v>4.6759259259259257E-2</v>
          </cell>
          <cell r="G20">
            <v>0</v>
          </cell>
          <cell r="H20">
            <v>1</v>
          </cell>
          <cell r="I20">
            <v>11709.5</v>
          </cell>
          <cell r="L20">
            <v>0</v>
          </cell>
          <cell r="M20">
            <v>1.1222222222222222</v>
          </cell>
          <cell r="N20">
            <v>0</v>
          </cell>
          <cell r="O20">
            <v>0</v>
          </cell>
          <cell r="P20" t="e">
            <v>#DIV/0!</v>
          </cell>
          <cell r="Q20">
            <v>4.1989999999999998</v>
          </cell>
          <cell r="R20">
            <v>1</v>
          </cell>
          <cell r="S20" t="b">
            <v>0</v>
          </cell>
          <cell r="T20">
            <v>0</v>
          </cell>
          <cell r="U20">
            <v>3.5</v>
          </cell>
          <cell r="V20">
            <v>11709.5</v>
          </cell>
          <cell r="W20">
            <v>0</v>
          </cell>
          <cell r="X20">
            <v>-20</v>
          </cell>
        </row>
        <row r="21">
          <cell r="A21">
            <v>45805.549305555556</v>
          </cell>
          <cell r="B21" t="str">
            <v>standard</v>
          </cell>
          <cell r="C21" t="str">
            <v>High Tech Collision, Corwin Ford, other places in Reno</v>
          </cell>
          <cell r="E21">
            <v>20.399999999999999</v>
          </cell>
          <cell r="F21">
            <v>0.14280092592592591</v>
          </cell>
          <cell r="G21">
            <v>128.6</v>
          </cell>
          <cell r="H21">
            <v>0.8125</v>
          </cell>
          <cell r="I21">
            <v>11838.2</v>
          </cell>
          <cell r="L21">
            <v>0</v>
          </cell>
          <cell r="M21">
            <v>2.3049999999999997</v>
          </cell>
          <cell r="N21">
            <v>55.791757049891544</v>
          </cell>
          <cell r="O21">
            <v>0</v>
          </cell>
          <cell r="P21">
            <v>0</v>
          </cell>
          <cell r="Q21">
            <v>4.1989999999999998</v>
          </cell>
          <cell r="R21">
            <v>0.8125</v>
          </cell>
          <cell r="S21" t="b">
            <v>0</v>
          </cell>
          <cell r="T21">
            <v>0</v>
          </cell>
          <cell r="U21">
            <v>0</v>
          </cell>
          <cell r="V21">
            <v>11709.5</v>
          </cell>
          <cell r="W21">
            <v>0.10000000000073328</v>
          </cell>
          <cell r="X21">
            <v>6</v>
          </cell>
        </row>
        <row r="22">
          <cell r="A22">
            <v>45807.8</v>
          </cell>
          <cell r="B22" t="str">
            <v>Standard</v>
          </cell>
          <cell r="E22">
            <v>21</v>
          </cell>
          <cell r="F22">
            <v>0.10643518518518519</v>
          </cell>
          <cell r="G22">
            <v>116.3</v>
          </cell>
          <cell r="H22">
            <v>0.625</v>
          </cell>
          <cell r="I22">
            <v>11954.5</v>
          </cell>
          <cell r="L22">
            <v>0</v>
          </cell>
          <cell r="M22">
            <v>2.5544444444444445</v>
          </cell>
          <cell r="N22">
            <v>45.528490648107869</v>
          </cell>
          <cell r="O22">
            <v>0</v>
          </cell>
          <cell r="P22">
            <v>0</v>
          </cell>
          <cell r="Q22">
            <v>4.1989999999999998</v>
          </cell>
          <cell r="R22">
            <v>0.625</v>
          </cell>
          <cell r="S22" t="b">
            <v>0</v>
          </cell>
          <cell r="T22">
            <v>0</v>
          </cell>
          <cell r="U22">
            <v>128.70000000000073</v>
          </cell>
          <cell r="V22">
            <v>11838.1</v>
          </cell>
          <cell r="W22">
            <v>7.2475359047530219E-13</v>
          </cell>
          <cell r="X22">
            <v>6</v>
          </cell>
        </row>
        <row r="23">
          <cell r="A23">
            <v>45808.36041666667</v>
          </cell>
          <cell r="B23" t="str">
            <v>standard</v>
          </cell>
          <cell r="C23" t="str">
            <v>Aland dentistry</v>
          </cell>
          <cell r="E23">
            <v>4.3</v>
          </cell>
          <cell r="F23">
            <v>1.0416666666666666E-2</v>
          </cell>
          <cell r="G23">
            <v>0.7</v>
          </cell>
          <cell r="H23">
            <v>0.625</v>
          </cell>
          <cell r="I23">
            <v>11955.3</v>
          </cell>
          <cell r="L23">
            <v>0</v>
          </cell>
          <cell r="M23">
            <v>0.25</v>
          </cell>
          <cell r="N23">
            <v>2.8</v>
          </cell>
          <cell r="O23">
            <v>0</v>
          </cell>
          <cell r="P23">
            <v>0</v>
          </cell>
          <cell r="Q23">
            <v>4.1989999999999998</v>
          </cell>
          <cell r="R23">
            <v>0.625</v>
          </cell>
          <cell r="S23" t="b">
            <v>0</v>
          </cell>
          <cell r="T23">
            <v>0</v>
          </cell>
          <cell r="U23">
            <v>116.29999999999927</v>
          </cell>
          <cell r="V23">
            <v>11954.5</v>
          </cell>
          <cell r="W23">
            <v>9.9999999999272449E-2</v>
          </cell>
          <cell r="X23">
            <v>0</v>
          </cell>
        </row>
        <row r="24">
          <cell r="A24">
            <v>45808.822222222225</v>
          </cell>
          <cell r="B24" t="str">
            <v>standard</v>
          </cell>
          <cell r="E24">
            <v>17.5</v>
          </cell>
          <cell r="F24">
            <v>2.6412037037037036E-2</v>
          </cell>
          <cell r="G24">
            <v>26.8</v>
          </cell>
          <cell r="H24">
            <v>0.5625</v>
          </cell>
          <cell r="I24">
            <v>11982.2</v>
          </cell>
          <cell r="L24">
            <v>0.7</v>
          </cell>
          <cell r="M24">
            <v>0.38388888888888884</v>
          </cell>
          <cell r="N24">
            <v>69.811866859623748</v>
          </cell>
          <cell r="O24">
            <v>0</v>
          </cell>
          <cell r="P24">
            <v>0</v>
          </cell>
          <cell r="Q24">
            <v>4.1989999999999998</v>
          </cell>
          <cell r="R24">
            <v>0.5625</v>
          </cell>
          <cell r="S24" t="b">
            <v>0</v>
          </cell>
          <cell r="T24">
            <v>0</v>
          </cell>
          <cell r="U24">
            <v>0.7999999999992724</v>
          </cell>
          <cell r="V24">
            <v>11955.2</v>
          </cell>
          <cell r="W24">
            <v>0.10000000000145448</v>
          </cell>
          <cell r="X24">
            <v>2</v>
          </cell>
        </row>
        <row r="25">
          <cell r="A25">
            <v>45809.424305555556</v>
          </cell>
          <cell r="B25" t="str">
            <v>standard</v>
          </cell>
          <cell r="E25">
            <v>13</v>
          </cell>
          <cell r="F25">
            <v>3.8703703703703705E-2</v>
          </cell>
          <cell r="G25">
            <v>13.3</v>
          </cell>
          <cell r="H25">
            <v>0.5</v>
          </cell>
          <cell r="I25">
            <v>11995.5</v>
          </cell>
          <cell r="L25">
            <v>0</v>
          </cell>
          <cell r="M25">
            <v>0.29500000000000004</v>
          </cell>
          <cell r="N25">
            <v>45.084745762711862</v>
          </cell>
          <cell r="O25">
            <v>0</v>
          </cell>
          <cell r="P25">
            <v>0</v>
          </cell>
          <cell r="Q25">
            <v>4.1989999999999998</v>
          </cell>
          <cell r="R25">
            <v>0.5</v>
          </cell>
          <cell r="S25" t="b">
            <v>0</v>
          </cell>
          <cell r="T25">
            <v>0</v>
          </cell>
          <cell r="U25">
            <v>26.900000000001455</v>
          </cell>
          <cell r="V25">
            <v>11982.099999999999</v>
          </cell>
          <cell r="W25">
            <v>7.2830630415410269E-13</v>
          </cell>
          <cell r="X25">
            <v>2</v>
          </cell>
        </row>
        <row r="26">
          <cell r="A26">
            <v>45809.451388888891</v>
          </cell>
          <cell r="B26" t="str">
            <v>standard</v>
          </cell>
          <cell r="E26">
            <v>17.3</v>
          </cell>
          <cell r="F26">
            <v>2.1134259259259259E-2</v>
          </cell>
          <cell r="G26">
            <v>12</v>
          </cell>
          <cell r="H26">
            <v>0.4375</v>
          </cell>
          <cell r="I26">
            <v>12007.6</v>
          </cell>
          <cell r="L26">
            <v>0</v>
          </cell>
          <cell r="M26">
            <v>0.50722222222222224</v>
          </cell>
          <cell r="N26">
            <v>23.65826944140197</v>
          </cell>
          <cell r="O26">
            <v>0</v>
          </cell>
          <cell r="P26">
            <v>0</v>
          </cell>
          <cell r="Q26">
            <v>4.1989999999999998</v>
          </cell>
          <cell r="R26">
            <v>0.4375</v>
          </cell>
          <cell r="S26" t="b">
            <v>0</v>
          </cell>
          <cell r="T26">
            <v>0</v>
          </cell>
          <cell r="U26">
            <v>13.299999999999272</v>
          </cell>
          <cell r="V26">
            <v>11995.5</v>
          </cell>
          <cell r="W26">
            <v>0.1000000000003638</v>
          </cell>
          <cell r="X26">
            <v>2</v>
          </cell>
        </row>
        <row r="27">
          <cell r="A27">
            <v>45809.71597222222</v>
          </cell>
          <cell r="B27" t="str">
            <v>standard</v>
          </cell>
          <cell r="E27">
            <v>16</v>
          </cell>
          <cell r="F27">
            <v>9.9421296296296299E-2</v>
          </cell>
          <cell r="G27">
            <v>69.099999999999994</v>
          </cell>
          <cell r="H27">
            <v>0.375</v>
          </cell>
          <cell r="I27">
            <v>12064.7</v>
          </cell>
          <cell r="L27">
            <v>12</v>
          </cell>
          <cell r="M27">
            <v>1.8788888888888891</v>
          </cell>
          <cell r="N27">
            <v>36.777054997043166</v>
          </cell>
          <cell r="O27">
            <v>0</v>
          </cell>
          <cell r="P27">
            <v>0</v>
          </cell>
          <cell r="Q27">
            <v>4.1989999999999998</v>
          </cell>
          <cell r="R27">
            <v>0.375</v>
          </cell>
          <cell r="S27" t="b">
            <v>1</v>
          </cell>
          <cell r="T27">
            <v>7.8287037037037044E-2</v>
          </cell>
          <cell r="U27">
            <v>12.100000000000364</v>
          </cell>
          <cell r="V27">
            <v>12007.5</v>
          </cell>
          <cell r="W27">
            <v>11.999999999999631</v>
          </cell>
          <cell r="X27">
            <v>2</v>
          </cell>
        </row>
        <row r="28">
          <cell r="A28">
            <v>45810.293055555558</v>
          </cell>
          <cell r="B28" t="str">
            <v>standard</v>
          </cell>
          <cell r="E28">
            <v>19.600000000000001</v>
          </cell>
          <cell r="F28">
            <v>0.13636574074074073</v>
          </cell>
          <cell r="G28">
            <v>118.7</v>
          </cell>
          <cell r="H28">
            <v>0.1875</v>
          </cell>
          <cell r="I28">
            <v>12183.5</v>
          </cell>
          <cell r="L28">
            <v>69.099999999999994</v>
          </cell>
          <cell r="M28">
            <v>3.25</v>
          </cell>
          <cell r="N28">
            <v>36.523076923076921</v>
          </cell>
          <cell r="O28">
            <v>0</v>
          </cell>
          <cell r="P28">
            <v>0</v>
          </cell>
          <cell r="Q28">
            <v>4.1989999999999998</v>
          </cell>
          <cell r="R28">
            <v>0.1875</v>
          </cell>
          <cell r="S28" t="b">
            <v>0</v>
          </cell>
          <cell r="T28">
            <v>0</v>
          </cell>
          <cell r="U28">
            <v>57.100000000000364</v>
          </cell>
          <cell r="V28">
            <v>12076.7</v>
          </cell>
          <cell r="W28">
            <v>9.9999999999269562E-2</v>
          </cell>
          <cell r="X28">
            <v>6</v>
          </cell>
        </row>
        <row r="29">
          <cell r="A29">
            <v>45811</v>
          </cell>
          <cell r="B29" t="str">
            <v>standard</v>
          </cell>
          <cell r="E29">
            <v>12.1</v>
          </cell>
          <cell r="F29">
            <v>9.525462962962963E-3</v>
          </cell>
          <cell r="G29">
            <v>4.5999999999999996</v>
          </cell>
          <cell r="H29">
            <v>0.1875</v>
          </cell>
          <cell r="I29">
            <v>12188.2</v>
          </cell>
          <cell r="L29">
            <v>0</v>
          </cell>
          <cell r="M29">
            <v>0.2286111111111111</v>
          </cell>
          <cell r="N29">
            <v>20.121506682867558</v>
          </cell>
          <cell r="O29">
            <v>0</v>
          </cell>
          <cell r="P29">
            <v>0</v>
          </cell>
          <cell r="Q29">
            <v>4.1989999999999998</v>
          </cell>
          <cell r="R29">
            <v>0.1875</v>
          </cell>
          <cell r="S29" t="b">
            <v>0</v>
          </cell>
          <cell r="T29">
            <v>0</v>
          </cell>
          <cell r="U29">
            <v>118.79999999999927</v>
          </cell>
          <cell r="V29">
            <v>12183.400000000001</v>
          </cell>
          <cell r="W29">
            <v>0.10000000000072795</v>
          </cell>
          <cell r="X29">
            <v>0</v>
          </cell>
        </row>
        <row r="30">
          <cell r="A30">
            <v>45811.761805555558</v>
          </cell>
          <cell r="B30" t="str">
            <v>standard</v>
          </cell>
          <cell r="C30" t="str">
            <v>Dollar General</v>
          </cell>
          <cell r="E30">
            <v>15.6</v>
          </cell>
          <cell r="F30">
            <v>2.886574074074074E-2</v>
          </cell>
          <cell r="G30">
            <v>19.2</v>
          </cell>
          <cell r="H30">
            <v>0.1875</v>
          </cell>
          <cell r="I30">
            <v>12202.9</v>
          </cell>
          <cell r="L30">
            <v>4.5999999999999996</v>
          </cell>
          <cell r="M30">
            <v>0.46416666666666662</v>
          </cell>
          <cell r="N30">
            <v>41.364452423698388</v>
          </cell>
          <cell r="O30">
            <v>0</v>
          </cell>
          <cell r="P30">
            <v>0</v>
          </cell>
          <cell r="Q30">
            <v>4.1989999999999998</v>
          </cell>
          <cell r="R30">
            <v>0.1875</v>
          </cell>
          <cell r="S30" t="b">
            <v>1</v>
          </cell>
          <cell r="T30">
            <v>1.9340277777777776E-2</v>
          </cell>
          <cell r="U30">
            <v>4.7000000000007276</v>
          </cell>
          <cell r="V30">
            <v>12188.1</v>
          </cell>
          <cell r="W30">
            <v>4.5000000000010907</v>
          </cell>
          <cell r="X30">
            <v>0</v>
          </cell>
        </row>
        <row r="31">
          <cell r="A31">
            <v>45811</v>
          </cell>
          <cell r="B31" t="str">
            <v>standard</v>
          </cell>
          <cell r="C31" t="str">
            <v>Dollar General</v>
          </cell>
          <cell r="E31">
            <v>16.899999999999999</v>
          </cell>
          <cell r="F31">
            <v>4.1238425925925928E-2</v>
          </cell>
          <cell r="G31">
            <v>30.5</v>
          </cell>
          <cell r="H31">
            <v>0.125</v>
          </cell>
          <cell r="I31">
            <v>12214.2</v>
          </cell>
          <cell r="J31" t="str">
            <v xml:space="preserve">    </v>
          </cell>
          <cell r="L31">
            <v>19.2</v>
          </cell>
          <cell r="M31">
            <v>0.29694444444444451</v>
          </cell>
          <cell r="N31">
            <v>102.71281571562206</v>
          </cell>
          <cell r="O31">
            <v>0</v>
          </cell>
          <cell r="P31">
            <v>0</v>
          </cell>
          <cell r="Q31">
            <v>4.1989999999999998</v>
          </cell>
          <cell r="R31">
            <v>0.125</v>
          </cell>
          <cell r="S31" t="b">
            <v>1</v>
          </cell>
          <cell r="T31">
            <v>1.2372685185185188E-2</v>
          </cell>
          <cell r="U31">
            <v>14.699999999998909</v>
          </cell>
          <cell r="V31">
            <v>12207.400000000001</v>
          </cell>
          <cell r="W31">
            <v>19.199999999998909</v>
          </cell>
          <cell r="X31">
            <v>2</v>
          </cell>
        </row>
        <row r="32">
          <cell r="A32">
            <v>45811.992708333331</v>
          </cell>
          <cell r="C32" t="str">
            <v>Chevron and ft Churchill</v>
          </cell>
          <cell r="E32">
            <v>18</v>
          </cell>
          <cell r="F32">
            <v>4.9629629629629628E-2</v>
          </cell>
          <cell r="G32">
            <v>29</v>
          </cell>
          <cell r="H32">
            <v>1</v>
          </cell>
          <cell r="I32">
            <v>12243.3</v>
          </cell>
          <cell r="J32">
            <v>641</v>
          </cell>
          <cell r="L32">
            <v>0</v>
          </cell>
          <cell r="M32">
            <v>0.20138888888888878</v>
          </cell>
          <cell r="N32">
            <v>144.00000000000009</v>
          </cell>
          <cell r="O32">
            <v>0</v>
          </cell>
          <cell r="P32">
            <v>0</v>
          </cell>
          <cell r="Q32">
            <v>4.1989999999999998</v>
          </cell>
          <cell r="R32">
            <v>1</v>
          </cell>
          <cell r="S32" t="b">
            <v>0</v>
          </cell>
          <cell r="T32">
            <v>0</v>
          </cell>
          <cell r="U32">
            <v>11.300000000001091</v>
          </cell>
          <cell r="V32">
            <v>12233.4</v>
          </cell>
          <cell r="W32">
            <v>9.9999999998544808E-2</v>
          </cell>
          <cell r="X32">
            <v>-28</v>
          </cell>
        </row>
        <row r="33">
          <cell r="A33">
            <v>45812.631249999999</v>
          </cell>
          <cell r="B33" t="str">
            <v>standard</v>
          </cell>
          <cell r="C33" t="str">
            <v>24/7</v>
          </cell>
          <cell r="E33">
            <v>12.5</v>
          </cell>
          <cell r="F33">
            <v>8.5532407407407415E-3</v>
          </cell>
          <cell r="G33">
            <v>3.9</v>
          </cell>
          <cell r="H33">
            <v>1</v>
          </cell>
          <cell r="I33">
            <v>12247.2</v>
          </cell>
          <cell r="J33">
            <v>635</v>
          </cell>
          <cell r="L33">
            <v>0</v>
          </cell>
          <cell r="M33">
            <v>0.20527777777777778</v>
          </cell>
          <cell r="N33">
            <v>18.998646820027062</v>
          </cell>
          <cell r="O33">
            <v>0</v>
          </cell>
          <cell r="P33">
            <v>0</v>
          </cell>
          <cell r="Q33">
            <v>4.1989999999999998</v>
          </cell>
          <cell r="R33">
            <v>1</v>
          </cell>
          <cell r="S33" t="b">
            <v>0</v>
          </cell>
          <cell r="T33">
            <v>0</v>
          </cell>
          <cell r="U33">
            <v>29.099999999998545</v>
          </cell>
          <cell r="V33">
            <v>12243.2</v>
          </cell>
          <cell r="W33">
            <v>1.4552803406786552E-12</v>
          </cell>
          <cell r="X33">
            <v>0</v>
          </cell>
        </row>
        <row r="34">
          <cell r="A34">
            <v>45812.722222222219</v>
          </cell>
          <cell r="B34" t="str">
            <v>standard</v>
          </cell>
          <cell r="C34" t="str">
            <v>24/7</v>
          </cell>
          <cell r="E34">
            <v>12.7</v>
          </cell>
          <cell r="F34">
            <v>1.6446759259259258E-2</v>
          </cell>
          <cell r="G34">
            <v>7.9</v>
          </cell>
          <cell r="H34">
            <v>1</v>
          </cell>
          <cell r="I34">
            <v>12251.3</v>
          </cell>
          <cell r="J34">
            <v>627</v>
          </cell>
          <cell r="L34">
            <v>3.9</v>
          </cell>
          <cell r="M34">
            <v>0.18944444444444442</v>
          </cell>
          <cell r="N34">
            <v>41.700879765395904</v>
          </cell>
          <cell r="O34">
            <v>0</v>
          </cell>
          <cell r="P34">
            <v>0</v>
          </cell>
          <cell r="Q34">
            <v>4.1989999999999998</v>
          </cell>
          <cell r="R34">
            <v>1</v>
          </cell>
          <cell r="S34" t="b">
            <v>1</v>
          </cell>
          <cell r="T34">
            <v>7.8935185185185167E-3</v>
          </cell>
          <cell r="U34">
            <v>3.9000000000014552</v>
          </cell>
          <cell r="V34">
            <v>12247.199999999999</v>
          </cell>
          <cell r="W34">
            <v>3.8000000000014555</v>
          </cell>
          <cell r="X34">
            <v>0</v>
          </cell>
        </row>
        <row r="35">
          <cell r="A35">
            <v>45812.80972222222</v>
          </cell>
          <cell r="B35" t="str">
            <v>standard</v>
          </cell>
          <cell r="C35" t="str">
            <v>24/7</v>
          </cell>
          <cell r="D35" t="str">
            <v>Tired</v>
          </cell>
          <cell r="E35">
            <v>15.1</v>
          </cell>
          <cell r="F35">
            <v>1.1296296296296296E-2</v>
          </cell>
          <cell r="G35">
            <v>5.6</v>
          </cell>
          <cell r="H35">
            <v>1</v>
          </cell>
          <cell r="I35">
            <v>12256.8</v>
          </cell>
          <cell r="J35">
            <v>619</v>
          </cell>
          <cell r="L35">
            <v>0</v>
          </cell>
          <cell r="M35">
            <v>0.27111111111111108</v>
          </cell>
          <cell r="N35">
            <v>20.655737704918035</v>
          </cell>
          <cell r="O35">
            <v>0</v>
          </cell>
          <cell r="P35">
            <v>0</v>
          </cell>
          <cell r="Q35">
            <v>4.1989999999999998</v>
          </cell>
          <cell r="R35">
            <v>1</v>
          </cell>
          <cell r="S35" t="b">
            <v>0</v>
          </cell>
          <cell r="T35">
            <v>0</v>
          </cell>
          <cell r="U35">
            <v>4.0999999999985448</v>
          </cell>
          <cell r="V35">
            <v>12255.1</v>
          </cell>
          <cell r="W35">
            <v>9.9999999999999645E-2</v>
          </cell>
          <cell r="X35">
            <v>0</v>
          </cell>
        </row>
        <row r="36">
          <cell r="A36">
            <v>45813.710416666669</v>
          </cell>
          <cell r="B36" t="str">
            <v>standard</v>
          </cell>
          <cell r="C36" t="str">
            <v>Rnc</v>
          </cell>
          <cell r="D36" t="str">
            <v xml:space="preserve">Appointment </v>
          </cell>
          <cell r="E36">
            <v>17.5</v>
          </cell>
          <cell r="F36">
            <v>2.1319444444444443E-2</v>
          </cell>
          <cell r="G36">
            <v>18.3</v>
          </cell>
          <cell r="H36">
            <v>1</v>
          </cell>
          <cell r="I36">
            <v>12275.1</v>
          </cell>
          <cell r="J36">
            <v>604</v>
          </cell>
          <cell r="L36">
            <v>5.6</v>
          </cell>
          <cell r="M36">
            <v>0.24055555555555552</v>
          </cell>
          <cell r="N36">
            <v>76.073903002309478</v>
          </cell>
          <cell r="O36">
            <v>0</v>
          </cell>
          <cell r="P36">
            <v>0</v>
          </cell>
          <cell r="Q36">
            <v>4.1989999999999998</v>
          </cell>
          <cell r="R36">
            <v>1</v>
          </cell>
          <cell r="S36" t="b">
            <v>0</v>
          </cell>
          <cell r="T36">
            <v>0</v>
          </cell>
          <cell r="U36">
            <v>5.5</v>
          </cell>
          <cell r="V36">
            <v>12256.9</v>
          </cell>
          <cell r="W36">
            <v>1.0906830993917538E-12</v>
          </cell>
          <cell r="X36">
            <v>0</v>
          </cell>
        </row>
        <row r="37">
          <cell r="A37">
            <v>45814.657638888886</v>
          </cell>
          <cell r="B37" t="str">
            <v>standard</v>
          </cell>
          <cell r="C37" t="str">
            <v>24/7</v>
          </cell>
          <cell r="D37" t="str">
            <v>Tired</v>
          </cell>
          <cell r="E37">
            <v>12.6</v>
          </cell>
          <cell r="F37">
            <v>9.6412037037037039E-3</v>
          </cell>
          <cell r="G37">
            <v>3.6</v>
          </cell>
          <cell r="H37">
            <v>1</v>
          </cell>
          <cell r="I37">
            <v>12278.7</v>
          </cell>
          <cell r="J37">
            <v>591</v>
          </cell>
          <cell r="L37">
            <v>0</v>
          </cell>
          <cell r="M37">
            <v>0.23138888888888889</v>
          </cell>
          <cell r="N37">
            <v>15.558223289315727</v>
          </cell>
          <cell r="O37">
            <v>0</v>
          </cell>
          <cell r="P37">
            <v>0</v>
          </cell>
          <cell r="Q37">
            <v>4.1989999999999998</v>
          </cell>
          <cell r="R37">
            <v>1</v>
          </cell>
          <cell r="S37" t="b">
            <v>0</v>
          </cell>
          <cell r="T37">
            <v>0</v>
          </cell>
          <cell r="U37">
            <v>18.300000000001091</v>
          </cell>
          <cell r="V37">
            <v>12275.099999999999</v>
          </cell>
          <cell r="W37">
            <v>3.6370906286720128E-13</v>
          </cell>
          <cell r="X37">
            <v>0</v>
          </cell>
        </row>
        <row r="38">
          <cell r="A38">
            <v>45814.884027777778</v>
          </cell>
          <cell r="B38" t="str">
            <v>standard</v>
          </cell>
          <cell r="C38" t="str">
            <v>Ft Churchill</v>
          </cell>
          <cell r="D38" t="str">
            <v>Strung out with burning noise</v>
          </cell>
          <cell r="E38">
            <v>13.7</v>
          </cell>
          <cell r="F38">
            <v>0.14056712962962964</v>
          </cell>
          <cell r="G38">
            <v>34</v>
          </cell>
          <cell r="H38">
            <v>0.875</v>
          </cell>
          <cell r="I38">
            <v>12312.8</v>
          </cell>
          <cell r="J38">
            <v>517</v>
          </cell>
          <cell r="L38">
            <v>3.6</v>
          </cell>
          <cell r="M38">
            <v>3.1422222222222227</v>
          </cell>
          <cell r="N38">
            <v>10.820367751060818</v>
          </cell>
          <cell r="O38">
            <v>0</v>
          </cell>
          <cell r="P38">
            <v>0</v>
          </cell>
          <cell r="Q38">
            <v>4.1989999999999998</v>
          </cell>
          <cell r="R38">
            <v>0.875</v>
          </cell>
          <cell r="S38" t="b">
            <v>0</v>
          </cell>
          <cell r="T38">
            <v>0</v>
          </cell>
          <cell r="U38">
            <v>3.6000000000003638</v>
          </cell>
          <cell r="V38">
            <v>12278.7</v>
          </cell>
          <cell r="W38">
            <v>9.9999999998544808E-2</v>
          </cell>
          <cell r="X38">
            <v>4</v>
          </cell>
        </row>
        <row r="39">
          <cell r="A39">
            <v>45815.568749999999</v>
          </cell>
          <cell r="B39" t="str">
            <v>standard</v>
          </cell>
          <cell r="C39" t="str">
            <v>Tires plus</v>
          </cell>
          <cell r="D39" t="str">
            <v>Flat tire</v>
          </cell>
          <cell r="E39">
            <v>19.600000000000001</v>
          </cell>
          <cell r="F39">
            <v>0.10917824074074074</v>
          </cell>
          <cell r="G39">
            <v>114.1</v>
          </cell>
          <cell r="H39">
            <v>0.625</v>
          </cell>
          <cell r="I39">
            <v>12426.9</v>
          </cell>
          <cell r="J39">
            <v>412</v>
          </cell>
          <cell r="L39">
            <v>0</v>
          </cell>
          <cell r="M39">
            <v>2.6202777777777779</v>
          </cell>
          <cell r="N39">
            <v>43.545001590162194</v>
          </cell>
          <cell r="O39">
            <v>0</v>
          </cell>
          <cell r="P39">
            <v>0</v>
          </cell>
          <cell r="Q39">
            <v>4.1989999999999998</v>
          </cell>
          <cell r="R39">
            <v>0.625</v>
          </cell>
          <cell r="S39" t="b">
            <v>0</v>
          </cell>
          <cell r="T39">
            <v>0</v>
          </cell>
          <cell r="U39">
            <v>34.099999999998545</v>
          </cell>
          <cell r="V39">
            <v>12312.7</v>
          </cell>
          <cell r="W39">
            <v>3.694822225952521E-13</v>
          </cell>
          <cell r="X39">
            <v>8</v>
          </cell>
        </row>
        <row r="40">
          <cell r="A40">
            <v>45815.890972222223</v>
          </cell>
          <cell r="B40" t="str">
            <v>standard</v>
          </cell>
          <cell r="C40" t="str">
            <v>Ft Churchill the social</v>
          </cell>
          <cell r="D40" t="str">
            <v>Feeling lethargic</v>
          </cell>
          <cell r="E40">
            <v>17.600000000000001</v>
          </cell>
          <cell r="F40">
            <v>1.9768518518518519E-2</v>
          </cell>
          <cell r="G40">
            <v>15.9</v>
          </cell>
          <cell r="H40">
            <v>0.625</v>
          </cell>
          <cell r="I40">
            <v>12442.9</v>
          </cell>
          <cell r="J40">
            <v>396</v>
          </cell>
          <cell r="L40">
            <v>0</v>
          </cell>
          <cell r="M40">
            <v>0.47444444444444445</v>
          </cell>
          <cell r="N40">
            <v>33.512880562060893</v>
          </cell>
          <cell r="O40">
            <v>0</v>
          </cell>
          <cell r="P40">
            <v>0</v>
          </cell>
          <cell r="Q40">
            <v>4.1989999999999998</v>
          </cell>
          <cell r="R40">
            <v>0.625</v>
          </cell>
          <cell r="S40" t="b">
            <v>0</v>
          </cell>
          <cell r="T40">
            <v>0</v>
          </cell>
          <cell r="U40">
            <v>114.10000000000036</v>
          </cell>
          <cell r="V40">
            <v>12426.9</v>
          </cell>
          <cell r="W40">
            <v>9.9999999999999645E-2</v>
          </cell>
          <cell r="X40">
            <v>0</v>
          </cell>
        </row>
        <row r="41">
          <cell r="A41">
            <v>45816.625</v>
          </cell>
          <cell r="B41" t="str">
            <v>standard</v>
          </cell>
          <cell r="C41" t="str">
            <v>Dollar General</v>
          </cell>
          <cell r="D41" t="str">
            <v>Bad eyesight, I'm bored</v>
          </cell>
          <cell r="E41">
            <v>16.899999999999999</v>
          </cell>
          <cell r="F41">
            <v>3.5868055555555556E-2</v>
          </cell>
          <cell r="G41">
            <v>11</v>
          </cell>
          <cell r="H41">
            <v>0.5625</v>
          </cell>
          <cell r="I41">
            <v>12454.3</v>
          </cell>
          <cell r="J41">
            <v>385</v>
          </cell>
          <cell r="L41">
            <v>0</v>
          </cell>
          <cell r="M41">
            <v>0.38638888888888889</v>
          </cell>
          <cell r="N41">
            <v>28.468727534148094</v>
          </cell>
          <cell r="O41">
            <v>0</v>
          </cell>
          <cell r="P41">
            <v>0</v>
          </cell>
          <cell r="Q41">
            <v>4.1989999999999998</v>
          </cell>
          <cell r="R41">
            <v>0.5625</v>
          </cell>
          <cell r="S41" t="b">
            <v>0</v>
          </cell>
          <cell r="T41">
            <v>0</v>
          </cell>
          <cell r="U41">
            <v>16</v>
          </cell>
          <cell r="V41">
            <v>12442.8</v>
          </cell>
          <cell r="W41">
            <v>0.3999999999996362</v>
          </cell>
          <cell r="X41">
            <v>2</v>
          </cell>
        </row>
        <row r="42">
          <cell r="A42">
            <v>45817.277777777781</v>
          </cell>
          <cell r="B42" t="str">
            <v>standard</v>
          </cell>
          <cell r="C42" t="str">
            <v>24/7</v>
          </cell>
          <cell r="D42" t="str">
            <v>Tired</v>
          </cell>
          <cell r="E42">
            <v>31.5</v>
          </cell>
          <cell r="F42">
            <v>4.1666666666666664E-2</v>
          </cell>
          <cell r="G42">
            <v>16.8</v>
          </cell>
          <cell r="H42">
            <v>0.5625</v>
          </cell>
          <cell r="I42">
            <v>12458.5</v>
          </cell>
          <cell r="J42">
            <v>375</v>
          </cell>
          <cell r="L42">
            <v>11</v>
          </cell>
          <cell r="M42">
            <v>0.13916666666666661</v>
          </cell>
          <cell r="N42">
            <v>120.71856287425156</v>
          </cell>
          <cell r="O42">
            <v>0</v>
          </cell>
          <cell r="P42">
            <v>0</v>
          </cell>
          <cell r="Q42">
            <v>4.1989999999999998</v>
          </cell>
          <cell r="R42">
            <v>0.5625</v>
          </cell>
          <cell r="S42" t="b">
            <v>1</v>
          </cell>
          <cell r="T42">
            <v>5.7986111111111086E-3</v>
          </cell>
          <cell r="U42">
            <v>11.399999999999636</v>
          </cell>
          <cell r="V42">
            <v>12453.9</v>
          </cell>
          <cell r="W42">
            <v>12.599999999999273</v>
          </cell>
          <cell r="X42">
            <v>0</v>
          </cell>
        </row>
        <row r="43">
          <cell r="A43">
            <v>45817.614583333336</v>
          </cell>
          <cell r="B43" t="str">
            <v>standard</v>
          </cell>
          <cell r="C43" t="str">
            <v>Mariah</v>
          </cell>
          <cell r="D43" t="str">
            <v>Doctor</v>
          </cell>
          <cell r="E43">
            <v>17.2</v>
          </cell>
          <cell r="F43">
            <v>5.8506944444444445E-2</v>
          </cell>
          <cell r="G43">
            <v>47.7</v>
          </cell>
          <cell r="H43">
            <v>0.5</v>
          </cell>
          <cell r="I43">
            <v>12474.7</v>
          </cell>
          <cell r="J43">
            <v>351</v>
          </cell>
          <cell r="L43">
            <v>16.8</v>
          </cell>
          <cell r="M43">
            <v>0.40416666666666673</v>
          </cell>
          <cell r="N43">
            <v>118.02061855670102</v>
          </cell>
          <cell r="O43">
            <v>0</v>
          </cell>
          <cell r="P43">
            <v>0</v>
          </cell>
          <cell r="Q43">
            <v>4.1989999999999998</v>
          </cell>
          <cell r="R43">
            <v>0.5</v>
          </cell>
          <cell r="S43" t="b">
            <v>1</v>
          </cell>
          <cell r="T43">
            <v>1.684027777777778E-2</v>
          </cell>
          <cell r="U43">
            <v>4.2000000000007276</v>
          </cell>
          <cell r="V43">
            <v>12471.099999999999</v>
          </cell>
          <cell r="W43">
            <v>31.499999999999275</v>
          </cell>
          <cell r="X43">
            <v>2</v>
          </cell>
        </row>
        <row r="44">
          <cell r="A44">
            <v>45817.831944444442</v>
          </cell>
          <cell r="B44" t="str">
            <v>standard</v>
          </cell>
          <cell r="C44" t="str">
            <v>Dollar General</v>
          </cell>
          <cell r="D44" t="str">
            <v>Needed eggs</v>
          </cell>
          <cell r="E44">
            <v>16.600000000000001</v>
          </cell>
          <cell r="F44">
            <v>1.0590277777777778E-2</v>
          </cell>
          <cell r="G44">
            <v>11.2</v>
          </cell>
          <cell r="H44">
            <v>0.5</v>
          </cell>
          <cell r="I44">
            <v>12485.9</v>
          </cell>
          <cell r="J44">
            <v>331</v>
          </cell>
          <cell r="L44">
            <v>0</v>
          </cell>
          <cell r="M44">
            <v>0.25416666666666665</v>
          </cell>
          <cell r="N44">
            <v>44.065573770491802</v>
          </cell>
          <cell r="O44">
            <v>0</v>
          </cell>
          <cell r="P44">
            <v>0</v>
          </cell>
          <cell r="Q44">
            <v>5.1989999999999998</v>
          </cell>
          <cell r="R44">
            <v>0.5</v>
          </cell>
          <cell r="S44" t="b">
            <v>0</v>
          </cell>
          <cell r="T44">
            <v>0</v>
          </cell>
          <cell r="U44">
            <v>16.200000000000728</v>
          </cell>
          <cell r="V44">
            <v>12506.2</v>
          </cell>
          <cell r="W44">
            <v>1.0906830993917538E-12</v>
          </cell>
          <cell r="X44">
            <v>0</v>
          </cell>
        </row>
        <row r="45">
          <cell r="A45">
            <v>45817.896527777775</v>
          </cell>
          <cell r="B45" t="str">
            <v>standard</v>
          </cell>
          <cell r="C45" t="str">
            <v>Dollar General</v>
          </cell>
          <cell r="D45" t="str">
            <v>Forgot frosting</v>
          </cell>
          <cell r="E45">
            <v>18.100000000000001</v>
          </cell>
          <cell r="F45">
            <v>1.0578703703703703E-2</v>
          </cell>
          <cell r="G45">
            <v>11.2</v>
          </cell>
          <cell r="H45">
            <v>0.5</v>
          </cell>
          <cell r="I45">
            <v>12497.2</v>
          </cell>
          <cell r="J45">
            <v>316</v>
          </cell>
          <cell r="L45">
            <v>0</v>
          </cell>
          <cell r="M45">
            <v>0.25388888888888889</v>
          </cell>
          <cell r="N45">
            <v>44.113785557986866</v>
          </cell>
          <cell r="O45">
            <v>0</v>
          </cell>
          <cell r="P45">
            <v>0</v>
          </cell>
          <cell r="Q45">
            <v>6.1989999999999998</v>
          </cell>
          <cell r="R45">
            <v>0.5</v>
          </cell>
          <cell r="S45" t="b">
            <v>0</v>
          </cell>
          <cell r="T45">
            <v>0</v>
          </cell>
          <cell r="U45">
            <v>11.199999999998909</v>
          </cell>
          <cell r="V45">
            <v>12485.900000000001</v>
          </cell>
          <cell r="W45">
            <v>0.1000000000010921</v>
          </cell>
          <cell r="X45">
            <v>0</v>
          </cell>
        </row>
        <row r="46">
          <cell r="A46">
            <v>45817.642361111109</v>
          </cell>
          <cell r="B46" t="str">
            <v>standard</v>
          </cell>
          <cell r="C46" t="str">
            <v>Yerington lucky bar</v>
          </cell>
          <cell r="D46" t="str">
            <v>Extreme anger</v>
          </cell>
          <cell r="E46">
            <v>20.100000000000001</v>
          </cell>
          <cell r="F46">
            <v>5.5555555555555552E-2</v>
          </cell>
          <cell r="G46">
            <v>60.9</v>
          </cell>
          <cell r="H46">
            <v>0.4375</v>
          </cell>
          <cell r="I46">
            <v>12558.2</v>
          </cell>
          <cell r="J46">
            <v>250</v>
          </cell>
          <cell r="L46">
            <v>11.2</v>
          </cell>
          <cell r="M46">
            <v>1.0794444444444444</v>
          </cell>
          <cell r="N46">
            <v>56.417910447761194</v>
          </cell>
          <cell r="O46">
            <v>0</v>
          </cell>
          <cell r="P46">
            <v>0</v>
          </cell>
          <cell r="Q46">
            <v>7.1989999999999998</v>
          </cell>
          <cell r="R46">
            <v>0.4375</v>
          </cell>
          <cell r="S46" t="b">
            <v>0</v>
          </cell>
          <cell r="T46">
            <v>0</v>
          </cell>
          <cell r="U46">
            <v>11.300000000001091</v>
          </cell>
          <cell r="V46">
            <v>12497.1</v>
          </cell>
          <cell r="W46">
            <v>0.10000000000000142</v>
          </cell>
          <cell r="X46">
            <v>2</v>
          </cell>
        </row>
        <row r="47">
          <cell r="A47">
            <v>45086.737500000003</v>
          </cell>
          <cell r="B47" t="str">
            <v>standard</v>
          </cell>
          <cell r="C47" t="str">
            <v>24/7</v>
          </cell>
          <cell r="D47" t="str">
            <v>Angst anger frustration</v>
          </cell>
          <cell r="E47">
            <v>12.3</v>
          </cell>
          <cell r="F47">
            <v>6.5972222222222222E-3</v>
          </cell>
          <cell r="G47">
            <v>3.9</v>
          </cell>
          <cell r="H47">
            <v>0.375</v>
          </cell>
          <cell r="I47">
            <v>12562.1</v>
          </cell>
          <cell r="J47">
            <v>243</v>
          </cell>
          <cell r="L47">
            <v>0</v>
          </cell>
          <cell r="M47">
            <v>0.15833333333333333</v>
          </cell>
          <cell r="N47">
            <v>24.631578947368421</v>
          </cell>
          <cell r="O47">
            <v>0</v>
          </cell>
          <cell r="P47">
            <v>0</v>
          </cell>
          <cell r="Q47">
            <v>8.1989999999999998</v>
          </cell>
          <cell r="R47">
            <v>0.375</v>
          </cell>
          <cell r="S47" t="b">
            <v>0</v>
          </cell>
          <cell r="T47">
            <v>0</v>
          </cell>
          <cell r="U47">
            <v>61</v>
          </cell>
          <cell r="V47">
            <v>12558.1</v>
          </cell>
          <cell r="W47">
            <v>3.6370906286720128E-13</v>
          </cell>
          <cell r="X47">
            <v>2</v>
          </cell>
        </row>
        <row r="48">
          <cell r="A48">
            <v>45819.545138888891</v>
          </cell>
          <cell r="B48" t="str">
            <v>standard</v>
          </cell>
          <cell r="C48" t="str">
            <v>Dollar General</v>
          </cell>
          <cell r="D48" t="str">
            <v>Depressed and lethargic</v>
          </cell>
          <cell r="E48">
            <v>15.5</v>
          </cell>
          <cell r="F48">
            <v>1.4166666666666666E-2</v>
          </cell>
          <cell r="G48">
            <v>11.8</v>
          </cell>
          <cell r="H48">
            <v>0.375</v>
          </cell>
          <cell r="I48">
            <v>12573.9</v>
          </cell>
          <cell r="J48">
            <v>223</v>
          </cell>
          <cell r="L48">
            <v>3.9</v>
          </cell>
          <cell r="M48">
            <v>0.18166666666666664</v>
          </cell>
          <cell r="N48">
            <v>64.954128440366986</v>
          </cell>
          <cell r="O48">
            <v>0</v>
          </cell>
          <cell r="P48">
            <v>0</v>
          </cell>
          <cell r="Q48">
            <v>9.1989999999999998</v>
          </cell>
          <cell r="R48">
            <v>0.375</v>
          </cell>
          <cell r="S48" t="b">
            <v>1</v>
          </cell>
          <cell r="T48">
            <v>7.5694444444444437E-3</v>
          </cell>
          <cell r="U48">
            <v>3.8999999999996362</v>
          </cell>
          <cell r="V48">
            <v>12562.1</v>
          </cell>
          <cell r="W48">
            <v>11.8</v>
          </cell>
          <cell r="X48">
            <v>0</v>
          </cell>
        </row>
        <row r="49">
          <cell r="A49">
            <v>45820.720138888886</v>
          </cell>
          <cell r="C49" t="str">
            <v>Rnc</v>
          </cell>
          <cell r="D49" t="str">
            <v xml:space="preserve">Appointment </v>
          </cell>
          <cell r="E49">
            <v>16.899999999999999</v>
          </cell>
          <cell r="F49">
            <v>2.3275462962962963E-2</v>
          </cell>
          <cell r="G49">
            <v>23.8</v>
          </cell>
          <cell r="H49">
            <v>0.3125</v>
          </cell>
          <cell r="I49">
            <v>12597.8</v>
          </cell>
          <cell r="J49">
            <v>189</v>
          </cell>
        </row>
        <row r="50">
          <cell r="A50">
            <v>45821.381944444445</v>
          </cell>
          <cell r="C50" t="str">
            <v>24/7</v>
          </cell>
          <cell r="D50" t="str">
            <v>Depressed lethargic unable to work</v>
          </cell>
          <cell r="E50">
            <v>11.4</v>
          </cell>
          <cell r="F50">
            <v>6.5162037037037037E-3</v>
          </cell>
          <cell r="G50">
            <v>3.9</v>
          </cell>
          <cell r="H50">
            <v>0.25</v>
          </cell>
          <cell r="I50">
            <v>12601.8</v>
          </cell>
          <cell r="J50">
            <v>181</v>
          </cell>
        </row>
        <row r="51">
          <cell r="A51">
            <v>45821.654166666667</v>
          </cell>
          <cell r="C51" t="str">
            <v>Chevron</v>
          </cell>
          <cell r="D51" t="str">
            <v>My butt hurt got gas at Chevron</v>
          </cell>
          <cell r="E51">
            <v>11.4</v>
          </cell>
          <cell r="F51">
            <v>4.1736111111111113E-2</v>
          </cell>
          <cell r="G51">
            <v>13.8</v>
          </cell>
          <cell r="H51">
            <v>1</v>
          </cell>
          <cell r="I51">
            <v>12615.6</v>
          </cell>
          <cell r="J51">
            <v>598</v>
          </cell>
        </row>
        <row r="52">
          <cell r="A52">
            <v>45821.25</v>
          </cell>
          <cell r="C52" t="str">
            <v>Great clips, smiths</v>
          </cell>
          <cell r="D52" t="str">
            <v>Depressed, despair, lonely</v>
          </cell>
          <cell r="E52">
            <v>19.2</v>
          </cell>
          <cell r="F52">
            <v>4.8125000000000001E-2</v>
          </cell>
          <cell r="G52">
            <v>56.1</v>
          </cell>
          <cell r="H52">
            <v>0.9375</v>
          </cell>
          <cell r="I52">
            <v>12671.7</v>
          </cell>
          <cell r="J52">
            <v>553</v>
          </cell>
        </row>
        <row r="53">
          <cell r="A53">
            <v>45823.289583333331</v>
          </cell>
          <cell r="C53" t="str">
            <v>Chevron</v>
          </cell>
          <cell r="D53" t="str">
            <v>Despair, hopeless</v>
          </cell>
          <cell r="E53">
            <v>18.8</v>
          </cell>
          <cell r="F53">
            <v>1.758101851851852E-2</v>
          </cell>
          <cell r="G53">
            <v>15.9</v>
          </cell>
          <cell r="H53">
            <v>0.875</v>
          </cell>
          <cell r="I53">
            <v>12687.7</v>
          </cell>
          <cell r="J53">
            <v>531</v>
          </cell>
        </row>
        <row r="54">
          <cell r="A54">
            <v>45823.461111111108</v>
          </cell>
          <cell r="C54" t="str">
            <v>Ft Churchill</v>
          </cell>
          <cell r="D54" t="str">
            <v>Coffee wa ranger</v>
          </cell>
          <cell r="E54">
            <v>16.8</v>
          </cell>
          <cell r="F54">
            <v>2.2800925925925926E-2</v>
          </cell>
          <cell r="G54">
            <v>13</v>
          </cell>
          <cell r="H54">
            <v>0.875</v>
          </cell>
          <cell r="I54">
            <v>12700.8</v>
          </cell>
          <cell r="J54">
            <v>512</v>
          </cell>
        </row>
      </sheetData>
      <sheetData sheetId="1"/>
      <sheetData sheetId="2"/>
    </sheetDataSet>
  </externalBook>
</externalLink>
</file>

<file path=xl/persons/person.xml><?xml version="1.0" encoding="utf-8"?>
<personList xmlns="http://schemas.microsoft.com/office/spreadsheetml/2018/threadedcomments" xmlns:x="http://schemas.openxmlformats.org/spreadsheetml/2006/main">
  <person displayName="John Byrne" id="{F5D32B3F-8363-9B4D-9429-27A001D1DD5F}" userId="S::jbyrne@johnbyrneconsulting.onmicrosoft.com::24a292e0-fb17-43ab-87d7-137ed064b846"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76F46228-DF80-FC48-8E14-B3631F188148}" autoFormatId="16" applyNumberFormats="0" applyBorderFormats="0" applyFontFormats="0" applyPatternFormats="0" applyAlignmentFormats="0" applyWidthHeightFormats="0">
  <queryTableRefresh nextId="8">
    <queryTableFields count="7">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output_4" growShrinkType="overwriteClear" connectionId="3" xr16:uid="{6ADFBCD1-8524-FF4A-9AB7-AEE950DFD86E}"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7" xr16:uid="{3618E7EB-7DB1-F242-9244-F389AB35603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8" xr16:uid="{B99DF00E-A0F6-2940-A6DA-0FC05EBC4CEF}" autoFormatId="16" applyNumberFormats="0" applyBorderFormats="0" applyFontFormats="0" applyPatternFormats="0" applyAlignmentFormats="0" applyWidthHeightFormats="0">
  <queryTableRefresh nextId="7" unboundColumnsRight="2">
    <queryTableFields count="6">
      <queryTableField id="1" name="Category" tableColumnId="1"/>
      <queryTableField id="2" name=" Monthly Budgeted Amount" tableColumnId="2"/>
      <queryTableField id="3" name=" Actual Amount Spent" tableColumnId="3"/>
      <queryTableField id="4" name=" Difference" tableColumnId="4"/>
      <queryTableField id="6" dataBound="0" tableColumnId="6"/>
      <queryTableField id="5" dataBound="0"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6" xr16:uid="{C6CBC19C-862C-7642-B995-5057E2C55CF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ollarsPerDayExpenditures" connectionId="1" xr16:uid="{1E2D3F7D-6FDB-024E-89D0-7AB572877D0B}" autoFormatId="16" applyNumberFormats="0" applyBorderFormats="0" applyFontFormats="1" applyPatternFormats="1" applyAlignmentFormats="0" applyWidthHeightFormats="0"/>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5" xr16:uid="{19EF3B86-EF59-BA43-B20C-6ADBED7D84C2}" autoFormatId="16" applyNumberFormats="0" applyBorderFormats="0" applyFontFormats="0" applyPatternFormats="0" applyAlignmentFormats="0" applyWidthHeightFormats="0">
  <queryTableRefresh nextId="8">
    <queryTableFields count="7">
      <queryTableField id="1" name="ActualSpendingCategory1" tableColumnId="1"/>
      <queryTableField id="2" name=" amount" tableColumnId="2"/>
      <queryTableField id="3" name=" AllowedSpending Category2" tableColumnId="3"/>
      <queryTableField id="4" name=" amount_1" tableColumnId="4"/>
      <queryTableField id="5" name=" difference" tableColumnId="5"/>
      <queryTableField id="6" name=" dailyAllowedAmount" tableColumnId="6"/>
      <queryTableField id="7" name=" days to go" tableColumnId="7"/>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0" xr16:uid="{EDEA3DF2-35D7-BD44-9334-DAA080334885}"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output" growShrinkType="overwriteClear" connectionId="4" xr16:uid="{D115B247-03E6-5145-A235-3D601E7B9973}" autoFormatId="16" applyNumberFormats="0" applyBorderFormats="0" applyFontFormats="1" applyPatternFormats="1" applyAlignmentFormats="0" applyWidthHeightFormats="0"/>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mandatory_2" growShrinkType="overwriteClear" connectionId="2" xr16:uid="{AB9DC448-5F4D-BD40-B25D-E90A9ED79212}" autoFormatId="16" applyNumberFormats="0" applyBorderFormats="0" applyFontFormats="1" applyPatternFormats="1" applyAlignmentFormats="0" applyWidthHeightFormats="0"/>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connectionId="11" xr16:uid="{85CFDDB6-75BD-D441-9338-570C2F1F59B6}" autoFormatId="16" applyNumberFormats="0" applyBorderFormats="0" applyFontFormats="0" applyPatternFormats="0" applyAlignmentFormats="0" applyWidthHeightFormats="0">
  <queryTableRefresh nextId="7">
    <queryTableFields count="6">
      <queryTableField id="1" name="Actual Savings" tableColumnId="1"/>
      <queryTableField id="2" name=" amount" tableColumnId="2"/>
      <queryTableField id="3" name=" suggested Savings" tableColumnId="3"/>
      <queryTableField id="4" name=" amount_1" tableColumnId="4"/>
      <queryTableField id="5" name=" difference" tableColumnId="5"/>
      <queryTableField id="6" name="Column1"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9260F2C-AE4F-6C4C-A467-727A1FC1AFCA}" name="output_1" displayName="output_1" ref="A1:G91" tableType="queryTable" totalsRowShown="0">
  <autoFilter ref="A1:G91" xr:uid="{C9260F2C-AE4F-6C4C-A467-727A1FC1AFCA}"/>
  <tableColumns count="7">
    <tableColumn id="1" xr3:uid="{100B1B96-B6EA-D44E-9718-AE6672A47599}" uniqueName="1" name="Column1" queryTableFieldId="1" dataDxfId="21"/>
    <tableColumn id="2" xr3:uid="{BA173ABA-9D27-8C43-853A-2D2B42F5F43F}" uniqueName="2" name="Column2" queryTableFieldId="2" dataDxfId="20"/>
    <tableColumn id="3" xr3:uid="{9C1CCE6E-3199-974E-9FDC-FB9872677D75}" uniqueName="3" name="Column3" queryTableFieldId="3"/>
    <tableColumn id="4" xr3:uid="{CE37E3A9-D0F7-7D4B-AC7A-B2F12119D310}" uniqueName="4" name="Column4" queryTableFieldId="4" dataDxfId="19"/>
    <tableColumn id="5" xr3:uid="{F0870B15-898F-0F4A-8B9E-0EEF0C0F5A3A}" uniqueName="5" name="Column5" queryTableFieldId="5" dataDxfId="18"/>
    <tableColumn id="6" xr3:uid="{1337F62A-4780-7E44-A564-E88CED571996}" uniqueName="6" name="Column6" queryTableFieldId="6" dataDxfId="17"/>
    <tableColumn id="7" xr3:uid="{898C298B-D3A9-FD40-815D-3F19F56BC7F8}" uniqueName="7" name="Column7" queryTableFieldId="7" dataDxf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1BC785E-17AF-344C-A0A7-2E2CC2AA3452}" name="DollarsPerMonth" displayName="DollarsPerMonth" ref="A1:B29" tableType="queryTable" totalsRowShown="0">
  <autoFilter ref="A1:B29" xr:uid="{61BC785E-17AF-344C-A0A7-2E2CC2AA3452}"/>
  <tableColumns count="2">
    <tableColumn id="1" xr3:uid="{A17E8262-9DC4-4247-BA89-C74449789ACE}" uniqueName="1" name="Column1" queryTableFieldId="1" dataDxfId="31"/>
    <tableColumn id="2" xr3:uid="{CFD129D2-94D4-C44E-BC91-2EDD36C2256A}" uniqueName="2" name="Column2" queryTableFieldId="2" dataDxfId="3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09BEE4-674E-DE4D-BDEF-FCB9ADCE5A9C}" name="monthlyStatus" displayName="monthlyStatus" ref="A1:F31" tableType="queryTable" totalsRowShown="0">
  <autoFilter ref="A1:F31" xr:uid="{E309BEE4-674E-DE4D-BDEF-FCB9ADCE5A9C}"/>
  <tableColumns count="6">
    <tableColumn id="1" xr3:uid="{3FE4EDB7-4B9B-E040-A5D7-6156855DB716}" uniqueName="1" name="Category" queryTableFieldId="1" dataDxfId="29"/>
    <tableColumn id="2" xr3:uid="{5E7D0F25-C779-8341-A043-AA41B9341F4C}" uniqueName="2" name=" Monthly Budgeted Amount" queryTableFieldId="2"/>
    <tableColumn id="3" xr3:uid="{E37909B3-770D-2D4C-BA85-EF1CD865A992}" uniqueName="3" name=" Actual Amount Spent" queryTableFieldId="3" dataDxfId="28"/>
    <tableColumn id="4" xr3:uid="{D474447C-1690-C94A-9C78-7275C5284722}" uniqueName="4" name=" Difference" queryTableFieldId="4" dataDxfId="27"/>
    <tableColumn id="6" xr3:uid="{2D394E07-B3DD-0E40-A28E-DB7C82605D3C}" uniqueName="6" name="% contributing towards budget savings/deviation" queryTableFieldId="6" dataDxfId="26">
      <calculatedColumnFormula>monthlyStatus[[#This Row],[ Difference]]/SUM(B2:B19)</calculatedColumnFormula>
    </tableColumn>
    <tableColumn id="5" xr3:uid="{DDEC665D-79DC-7A4B-8899-F645DF64FCBE}" uniqueName="5" name="Notes" queryTableFieldId="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18F0E5-A714-E64B-AB15-977A9B3C92AF}" name="DollarsPerDayExpenditures_1" displayName="DollarsPerDayExpenditures_1" ref="A1:B29" tableType="queryTable" totalsRowShown="0">
  <autoFilter ref="A1:B29" xr:uid="{8318F0E5-A714-E64B-AB15-977A9B3C92AF}"/>
  <tableColumns count="2">
    <tableColumn id="1" xr3:uid="{133606DB-A5A0-E04D-94C9-69D5110D786E}" uniqueName="1" name="Column1" queryTableFieldId="1" dataDxfId="15"/>
    <tableColumn id="2" xr3:uid="{1A31A2B7-7A60-C244-A92B-6E0AAE1297DC}" uniqueName="2" name="Column2" queryTableFieldId="2" dataDxfId="1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B0F3F0-B591-044E-87F7-BE4FFDA2034B}" name="Budget_1" displayName="Budget_1" ref="A1:G33" tableType="queryTable" totalsRowShown="0">
  <autoFilter ref="A1:G33" xr:uid="{11B0F3F0-B591-044E-87F7-BE4FFDA2034B}"/>
  <tableColumns count="7">
    <tableColumn id="1" xr3:uid="{7E87E468-EE88-724B-8F2F-6D8769E73C33}" uniqueName="1" name="ActualSpendingCategory1" queryTableFieldId="1" dataDxfId="25"/>
    <tableColumn id="2" xr3:uid="{24D592F9-E00E-7E46-AD74-41D1DCFC1945}" uniqueName="2" name=" amount" queryTableFieldId="2"/>
    <tableColumn id="3" xr3:uid="{CA3B2D70-B3B7-E646-995F-52934CE39D07}" uniqueName="3" name=" AllowedSpending Category2" queryTableFieldId="3" dataDxfId="24"/>
    <tableColumn id="4" xr3:uid="{FBAC4436-EFC4-2041-99A6-80A01068EF0D}" uniqueName="4" name=" amount_1" queryTableFieldId="4"/>
    <tableColumn id="5" xr3:uid="{5DCEDF5D-2887-9740-96B0-585EAF441EA6}" uniqueName="5" name=" difference" queryTableFieldId="5"/>
    <tableColumn id="6" xr3:uid="{234A144C-D5EA-4149-8C62-78BB937DC4B1}" uniqueName="6" name=" dailyAllowedAmount" queryTableFieldId="6"/>
    <tableColumn id="7" xr3:uid="{04891C31-71AA-6C4C-BF00-C8A629A3FC2E}" uniqueName="7" name=" days to go" queryTableFieldId="7" dataDxfId="2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18B13D8-3364-7C49-81CA-83A4008AF46A}" name="pieChart" displayName="pieChart" ref="A1:B23" tableType="queryTable" totalsRowShown="0">
  <autoFilter ref="A1:B23" xr:uid="{318B13D8-3364-7C49-81CA-83A4008AF46A}"/>
  <tableColumns count="2">
    <tableColumn id="1" xr3:uid="{8CB78CF7-6B10-8F47-A926-0EF95CC1CA66}" uniqueName="1" name="Column1" queryTableFieldId="1" dataDxfId="22"/>
    <tableColumn id="2" xr3:uid="{9646CE79-C381-CF43-9C5A-94E45D848FDA}" uniqueName="2" name="Column2"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3BD0C-001C-1B46-9F79-64EBFBEE305A}" name="SuggestedSavings__2" displayName="SuggestedSavings__2" ref="A1:F2" tableType="queryTable" insertRow="1" totalsRowShown="0">
  <autoFilter ref="A1:F2" xr:uid="{B263BD0C-001C-1B46-9F79-64EBFBEE305A}"/>
  <tableColumns count="6">
    <tableColumn id="1" xr3:uid="{EDD3F794-5A9E-AB4F-BB56-CFD0ED03B0EC}" uniqueName="1" name="Actual Savings" queryTableFieldId="1"/>
    <tableColumn id="2" xr3:uid="{6A22FE00-42CC-2740-8689-69FC3E2DE5A9}" uniqueName="2" name=" amount" queryTableFieldId="2"/>
    <tableColumn id="3" xr3:uid="{338660D1-0F97-204A-8C78-23C0A5924E93}" uniqueName="3" name=" suggested Savings" queryTableFieldId="3"/>
    <tableColumn id="4" xr3:uid="{A6B8C7F9-8B0A-974D-9E58-83E58C1294BD}" uniqueName="4" name=" amount_1" queryTableFieldId="4"/>
    <tableColumn id="5" xr3:uid="{6472FC8D-5189-B948-8F7B-8502787E5D70}" uniqueName="5" name=" difference" queryTableFieldId="5"/>
    <tableColumn id="6" xr3:uid="{9670A190-C2A1-0848-B305-D5EF6D3D1290}" uniqueName="6" name="Column1"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5-05-15T15:17:48.79" personId="{F5D32B3F-8363-9B4D-9429-27A001D1DD5F}" id="{E289B598-0468-584B-9629-B57616BB5E10}">
    <text>This is if the daily -&gt; monthly calculation doesn’t exactly match the amount we wanted.</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queryTable" Target="../queryTables/queryTable6.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queryTable" Target="../queryTables/queryTable10.xml"/><Relationship Id="rId1" Type="http://schemas.openxmlformats.org/officeDocument/2006/relationships/queryTable" Target="../queryTables/queryTable9.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5CFF-E85A-9440-AE37-CFBFDDFECC5A}">
  <dimension ref="A1:G91"/>
  <sheetViews>
    <sheetView workbookViewId="0">
      <selection sqref="A1:G91"/>
    </sheetView>
  </sheetViews>
  <sheetFormatPr baseColWidth="10" defaultRowHeight="16" x14ac:dyDescent="0.2"/>
  <cols>
    <col min="2" max="2" width="48" bestFit="1" customWidth="1"/>
    <col min="3" max="3" width="12.83203125" bestFit="1" customWidth="1"/>
    <col min="4" max="4" width="33.5" bestFit="1" customWidth="1"/>
    <col min="7" max="7" width="18" bestFit="1" customWidth="1"/>
  </cols>
  <sheetData>
    <row r="1" spans="1:7" x14ac:dyDescent="0.2">
      <c r="A1" t="s">
        <v>167</v>
      </c>
      <c r="B1" t="s">
        <v>168</v>
      </c>
      <c r="C1" t="s">
        <v>169</v>
      </c>
      <c r="D1" t="s">
        <v>170</v>
      </c>
      <c r="E1" t="s">
        <v>171</v>
      </c>
      <c r="F1" t="s">
        <v>172</v>
      </c>
      <c r="G1" t="s">
        <v>173</v>
      </c>
    </row>
    <row r="2" spans="1:7" x14ac:dyDescent="0.2">
      <c r="A2" s="13">
        <v>45792</v>
      </c>
      <c r="B2" s="41" t="s">
        <v>139</v>
      </c>
      <c r="C2">
        <v>-4</v>
      </c>
      <c r="D2" s="41" t="s">
        <v>206</v>
      </c>
      <c r="E2" s="41" t="s">
        <v>174</v>
      </c>
      <c r="F2" s="41" t="s">
        <v>174</v>
      </c>
      <c r="G2" s="41" t="s">
        <v>104</v>
      </c>
    </row>
    <row r="3" spans="1:7" x14ac:dyDescent="0.2">
      <c r="A3" s="13">
        <v>45792</v>
      </c>
      <c r="B3" s="41" t="s">
        <v>271</v>
      </c>
      <c r="C3">
        <v>-162.83000183105469</v>
      </c>
      <c r="D3" s="41" t="s">
        <v>215</v>
      </c>
      <c r="E3" s="41" t="s">
        <v>174</v>
      </c>
      <c r="F3" s="41" t="s">
        <v>103</v>
      </c>
      <c r="G3" s="41" t="s">
        <v>104</v>
      </c>
    </row>
    <row r="4" spans="1:7" x14ac:dyDescent="0.2">
      <c r="A4" s="13">
        <v>45792</v>
      </c>
      <c r="B4" s="41" t="s">
        <v>272</v>
      </c>
      <c r="C4">
        <v>1681.6500244140625</v>
      </c>
      <c r="D4" s="41" t="s">
        <v>209</v>
      </c>
      <c r="E4" s="41" t="s">
        <v>128</v>
      </c>
      <c r="F4" s="41" t="s">
        <v>174</v>
      </c>
      <c r="G4" s="41" t="s">
        <v>105</v>
      </c>
    </row>
    <row r="5" spans="1:7" x14ac:dyDescent="0.2">
      <c r="A5" s="13">
        <v>45792</v>
      </c>
      <c r="B5" s="41" t="s">
        <v>273</v>
      </c>
      <c r="C5">
        <v>-40</v>
      </c>
      <c r="D5" s="41" t="s">
        <v>235</v>
      </c>
      <c r="E5" s="41" t="s">
        <v>174</v>
      </c>
      <c r="F5" s="41" t="s">
        <v>174</v>
      </c>
      <c r="G5" s="41" t="s">
        <v>104</v>
      </c>
    </row>
    <row r="6" spans="1:7" x14ac:dyDescent="0.2">
      <c r="A6" s="13">
        <v>45792</v>
      </c>
      <c r="B6" s="41" t="s">
        <v>112</v>
      </c>
      <c r="C6">
        <v>-13.840000152587891</v>
      </c>
      <c r="D6" s="41" t="s">
        <v>218</v>
      </c>
      <c r="E6" s="41" t="s">
        <v>174</v>
      </c>
      <c r="F6" s="41" t="s">
        <v>103</v>
      </c>
      <c r="G6" s="41" t="s">
        <v>105</v>
      </c>
    </row>
    <row r="7" spans="1:7" x14ac:dyDescent="0.2">
      <c r="A7" s="13">
        <v>45793</v>
      </c>
      <c r="B7" s="41" t="s">
        <v>274</v>
      </c>
      <c r="C7">
        <v>-1681.6500244140625</v>
      </c>
      <c r="D7" s="41" t="s">
        <v>212</v>
      </c>
      <c r="E7" s="41" t="s">
        <v>128</v>
      </c>
      <c r="F7" s="41" t="s">
        <v>174</v>
      </c>
      <c r="G7" s="41" t="s">
        <v>104</v>
      </c>
    </row>
    <row r="8" spans="1:7" x14ac:dyDescent="0.2">
      <c r="A8" s="13">
        <v>45793</v>
      </c>
      <c r="B8" s="41" t="s">
        <v>323</v>
      </c>
      <c r="C8">
        <v>-3.0799999237060547</v>
      </c>
      <c r="D8" s="41" t="s">
        <v>235</v>
      </c>
      <c r="E8" s="41" t="s">
        <v>174</v>
      </c>
      <c r="F8" s="41" t="s">
        <v>174</v>
      </c>
      <c r="G8" s="41" t="s">
        <v>105</v>
      </c>
    </row>
    <row r="9" spans="1:7" x14ac:dyDescent="0.2">
      <c r="A9" s="13">
        <v>45793</v>
      </c>
      <c r="B9" s="41" t="s">
        <v>234</v>
      </c>
      <c r="C9">
        <v>-18.219999313354492</v>
      </c>
      <c r="D9" s="41" t="s">
        <v>226</v>
      </c>
      <c r="E9" s="41" t="s">
        <v>174</v>
      </c>
      <c r="F9" s="41" t="s">
        <v>174</v>
      </c>
      <c r="G9" s="41" t="s">
        <v>104</v>
      </c>
    </row>
    <row r="10" spans="1:7" x14ac:dyDescent="0.2">
      <c r="A10" s="13">
        <v>45796</v>
      </c>
      <c r="B10" s="41" t="s">
        <v>240</v>
      </c>
      <c r="C10">
        <v>617.6500244140625</v>
      </c>
      <c r="D10" s="41" t="s">
        <v>213</v>
      </c>
      <c r="E10" s="41" t="s">
        <v>174</v>
      </c>
      <c r="F10" s="41" t="s">
        <v>174</v>
      </c>
      <c r="G10" s="41" t="s">
        <v>104</v>
      </c>
    </row>
    <row r="11" spans="1:7" x14ac:dyDescent="0.2">
      <c r="A11" s="13">
        <v>45797</v>
      </c>
      <c r="B11" s="41" t="s">
        <v>324</v>
      </c>
      <c r="C11">
        <v>-185</v>
      </c>
      <c r="D11" s="41" t="s">
        <v>221</v>
      </c>
      <c r="E11" s="41" t="s">
        <v>174</v>
      </c>
      <c r="F11" s="41" t="s">
        <v>174</v>
      </c>
      <c r="G11" s="41" t="s">
        <v>104</v>
      </c>
    </row>
    <row r="12" spans="1:7" x14ac:dyDescent="0.2">
      <c r="A12" s="13">
        <v>45797</v>
      </c>
      <c r="B12" s="41" t="s">
        <v>325</v>
      </c>
      <c r="C12">
        <v>-4.9899997711181641</v>
      </c>
      <c r="D12" s="41" t="s">
        <v>211</v>
      </c>
      <c r="E12" s="41" t="s">
        <v>174</v>
      </c>
      <c r="F12" s="41" t="s">
        <v>174</v>
      </c>
      <c r="G12" s="41" t="s">
        <v>105</v>
      </c>
    </row>
    <row r="13" spans="1:7" x14ac:dyDescent="0.2">
      <c r="A13" s="13">
        <v>45798</v>
      </c>
      <c r="B13" s="41" t="s">
        <v>326</v>
      </c>
      <c r="C13">
        <v>-11.789999961853027</v>
      </c>
      <c r="D13" s="41" t="s">
        <v>235</v>
      </c>
      <c r="E13" s="41" t="s">
        <v>174</v>
      </c>
      <c r="F13" s="41" t="s">
        <v>174</v>
      </c>
      <c r="G13" s="41" t="s">
        <v>104</v>
      </c>
    </row>
    <row r="14" spans="1:7" x14ac:dyDescent="0.2">
      <c r="A14" s="13">
        <v>45799</v>
      </c>
      <c r="B14" s="41" t="s">
        <v>116</v>
      </c>
      <c r="C14">
        <v>-10.989999771118164</v>
      </c>
      <c r="D14" s="41" t="s">
        <v>211</v>
      </c>
      <c r="E14" s="41" t="s">
        <v>174</v>
      </c>
      <c r="F14" s="41" t="s">
        <v>103</v>
      </c>
      <c r="G14" s="41" t="s">
        <v>105</v>
      </c>
    </row>
    <row r="15" spans="1:7" x14ac:dyDescent="0.2">
      <c r="A15" s="13">
        <v>45799</v>
      </c>
      <c r="B15" s="41" t="s">
        <v>336</v>
      </c>
      <c r="C15">
        <v>-101.95999908447266</v>
      </c>
      <c r="D15" s="41" t="s">
        <v>337</v>
      </c>
      <c r="E15" s="41" t="s">
        <v>174</v>
      </c>
      <c r="F15" s="41" t="s">
        <v>174</v>
      </c>
      <c r="G15" s="41" t="s">
        <v>105</v>
      </c>
    </row>
    <row r="16" spans="1:7" x14ac:dyDescent="0.2">
      <c r="A16" s="13">
        <v>45799</v>
      </c>
      <c r="B16" s="41" t="s">
        <v>327</v>
      </c>
      <c r="C16">
        <v>-6.5300002098083496</v>
      </c>
      <c r="D16" s="41" t="s">
        <v>205</v>
      </c>
      <c r="E16" s="41" t="s">
        <v>174</v>
      </c>
      <c r="F16" s="41" t="s">
        <v>174</v>
      </c>
      <c r="G16" s="41" t="s">
        <v>104</v>
      </c>
    </row>
    <row r="17" spans="1:7" x14ac:dyDescent="0.2">
      <c r="A17" s="13">
        <v>45799</v>
      </c>
      <c r="B17" s="41" t="s">
        <v>273</v>
      </c>
      <c r="C17">
        <v>-40</v>
      </c>
      <c r="D17" s="41" t="s">
        <v>235</v>
      </c>
      <c r="E17" s="41" t="s">
        <v>174</v>
      </c>
      <c r="F17" s="41" t="s">
        <v>174</v>
      </c>
      <c r="G17" s="41" t="s">
        <v>104</v>
      </c>
    </row>
    <row r="18" spans="1:7" x14ac:dyDescent="0.2">
      <c r="A18" s="13">
        <v>45800</v>
      </c>
      <c r="B18" s="41" t="s">
        <v>138</v>
      </c>
      <c r="C18">
        <v>-84.510002136230469</v>
      </c>
      <c r="D18" s="41" t="s">
        <v>206</v>
      </c>
      <c r="E18" s="41" t="s">
        <v>174</v>
      </c>
      <c r="F18" s="41" t="s">
        <v>174</v>
      </c>
      <c r="G18" s="41" t="s">
        <v>104</v>
      </c>
    </row>
    <row r="19" spans="1:7" x14ac:dyDescent="0.2">
      <c r="A19" s="13">
        <v>45800</v>
      </c>
      <c r="B19" s="41" t="s">
        <v>138</v>
      </c>
      <c r="C19">
        <v>-3.8900001049041748</v>
      </c>
      <c r="D19" s="41" t="s">
        <v>206</v>
      </c>
      <c r="E19" s="41" t="s">
        <v>174</v>
      </c>
      <c r="F19" s="41" t="s">
        <v>174</v>
      </c>
      <c r="G19" s="41" t="s">
        <v>104</v>
      </c>
    </row>
    <row r="20" spans="1:7" x14ac:dyDescent="0.2">
      <c r="A20" s="13">
        <v>45800</v>
      </c>
      <c r="B20" s="41" t="s">
        <v>338</v>
      </c>
      <c r="C20">
        <v>-10.829999923706055</v>
      </c>
      <c r="D20" s="41" t="s">
        <v>216</v>
      </c>
      <c r="E20" s="41" t="s">
        <v>174</v>
      </c>
      <c r="F20" s="41" t="s">
        <v>174</v>
      </c>
      <c r="G20" s="41" t="s">
        <v>104</v>
      </c>
    </row>
    <row r="21" spans="1:7" x14ac:dyDescent="0.2">
      <c r="A21" s="13">
        <v>45801</v>
      </c>
      <c r="B21" s="41" t="s">
        <v>323</v>
      </c>
      <c r="C21">
        <v>-0.72000002861022949</v>
      </c>
      <c r="D21" s="41" t="s">
        <v>235</v>
      </c>
      <c r="E21" s="41" t="s">
        <v>174</v>
      </c>
      <c r="F21" s="41" t="s">
        <v>174</v>
      </c>
      <c r="G21" s="41" t="s">
        <v>105</v>
      </c>
    </row>
    <row r="22" spans="1:7" x14ac:dyDescent="0.2">
      <c r="A22" s="13">
        <v>45803</v>
      </c>
      <c r="B22" s="41" t="s">
        <v>360</v>
      </c>
      <c r="C22">
        <v>-81.980003356933594</v>
      </c>
      <c r="D22" s="41" t="s">
        <v>205</v>
      </c>
      <c r="E22" s="41" t="s">
        <v>174</v>
      </c>
      <c r="F22" s="41" t="s">
        <v>174</v>
      </c>
      <c r="G22" s="41" t="s">
        <v>105</v>
      </c>
    </row>
    <row r="23" spans="1:7" x14ac:dyDescent="0.2">
      <c r="A23" s="13">
        <v>45804</v>
      </c>
      <c r="B23" s="41" t="s">
        <v>240</v>
      </c>
      <c r="C23">
        <v>720.6099853515625</v>
      </c>
      <c r="D23" s="41" t="s">
        <v>213</v>
      </c>
      <c r="E23" s="41" t="s">
        <v>174</v>
      </c>
      <c r="F23" s="41" t="s">
        <v>174</v>
      </c>
      <c r="G23" s="41" t="s">
        <v>104</v>
      </c>
    </row>
    <row r="24" spans="1:7" x14ac:dyDescent="0.2">
      <c r="A24" s="13">
        <v>45804</v>
      </c>
      <c r="B24" s="41" t="s">
        <v>116</v>
      </c>
      <c r="C24">
        <v>-2.9900000095367432</v>
      </c>
      <c r="D24" s="41" t="s">
        <v>211</v>
      </c>
      <c r="E24" s="41" t="s">
        <v>174</v>
      </c>
      <c r="F24" s="41" t="s">
        <v>103</v>
      </c>
      <c r="G24" s="41" t="s">
        <v>105</v>
      </c>
    </row>
    <row r="25" spans="1:7" x14ac:dyDescent="0.2">
      <c r="A25" s="13">
        <v>45804</v>
      </c>
      <c r="B25" s="41" t="s">
        <v>138</v>
      </c>
      <c r="C25">
        <v>-37.509998321533203</v>
      </c>
      <c r="D25" s="41" t="s">
        <v>206</v>
      </c>
      <c r="E25" s="41" t="s">
        <v>174</v>
      </c>
      <c r="F25" s="41" t="s">
        <v>174</v>
      </c>
      <c r="G25" s="41" t="s">
        <v>104</v>
      </c>
    </row>
    <row r="26" spans="1:7" x14ac:dyDescent="0.2">
      <c r="A26" s="13">
        <v>45804</v>
      </c>
      <c r="B26" s="41" t="s">
        <v>138</v>
      </c>
      <c r="C26">
        <v>-26.899999618530273</v>
      </c>
      <c r="D26" s="41" t="s">
        <v>206</v>
      </c>
      <c r="E26" s="41" t="s">
        <v>174</v>
      </c>
      <c r="F26" s="41" t="s">
        <v>174</v>
      </c>
      <c r="G26" s="41" t="s">
        <v>104</v>
      </c>
    </row>
    <row r="27" spans="1:7" x14ac:dyDescent="0.2">
      <c r="A27" s="13">
        <v>45804</v>
      </c>
      <c r="B27" s="41" t="s">
        <v>138</v>
      </c>
      <c r="C27">
        <v>-11.270000457763672</v>
      </c>
      <c r="D27" s="41" t="s">
        <v>206</v>
      </c>
      <c r="E27" s="41" t="s">
        <v>174</v>
      </c>
      <c r="F27" s="41" t="s">
        <v>174</v>
      </c>
      <c r="G27" s="41" t="s">
        <v>104</v>
      </c>
    </row>
    <row r="28" spans="1:7" x14ac:dyDescent="0.2">
      <c r="A28" s="13">
        <v>45804</v>
      </c>
      <c r="B28" s="41" t="s">
        <v>138</v>
      </c>
      <c r="C28">
        <v>-7.8899998664855957</v>
      </c>
      <c r="D28" s="41" t="s">
        <v>206</v>
      </c>
      <c r="E28" s="41" t="s">
        <v>174</v>
      </c>
      <c r="F28" s="41" t="s">
        <v>174</v>
      </c>
      <c r="G28" s="41" t="s">
        <v>104</v>
      </c>
    </row>
    <row r="29" spans="1:7" x14ac:dyDescent="0.2">
      <c r="A29" s="13">
        <v>45804</v>
      </c>
      <c r="B29" s="41" t="s">
        <v>129</v>
      </c>
      <c r="C29">
        <v>-10</v>
      </c>
      <c r="D29" s="41" t="s">
        <v>229</v>
      </c>
      <c r="E29" s="41" t="s">
        <v>174</v>
      </c>
      <c r="F29" s="41" t="s">
        <v>174</v>
      </c>
      <c r="G29" s="41" t="s">
        <v>105</v>
      </c>
    </row>
    <row r="30" spans="1:7" x14ac:dyDescent="0.2">
      <c r="A30" s="13">
        <v>45804</v>
      </c>
      <c r="B30" s="41" t="s">
        <v>129</v>
      </c>
      <c r="C30">
        <v>10</v>
      </c>
      <c r="D30" s="41" t="s">
        <v>229</v>
      </c>
      <c r="E30" s="41" t="s">
        <v>174</v>
      </c>
      <c r="F30" s="41" t="s">
        <v>174</v>
      </c>
      <c r="G30" s="41" t="s">
        <v>105</v>
      </c>
    </row>
    <row r="31" spans="1:7" x14ac:dyDescent="0.2">
      <c r="A31" s="13">
        <v>45804</v>
      </c>
      <c r="B31" s="41" t="s">
        <v>323</v>
      </c>
      <c r="C31">
        <v>-40</v>
      </c>
      <c r="D31" s="41" t="s">
        <v>235</v>
      </c>
      <c r="E31" s="41" t="s">
        <v>174</v>
      </c>
      <c r="F31" s="41" t="s">
        <v>174</v>
      </c>
      <c r="G31" s="41" t="s">
        <v>105</v>
      </c>
    </row>
    <row r="32" spans="1:7" x14ac:dyDescent="0.2">
      <c r="A32" s="13">
        <v>45804</v>
      </c>
      <c r="B32" s="41" t="s">
        <v>361</v>
      </c>
      <c r="C32">
        <v>-22.090000152587891</v>
      </c>
      <c r="D32" s="41" t="s">
        <v>206</v>
      </c>
      <c r="E32" s="41" t="s">
        <v>174</v>
      </c>
      <c r="F32" s="41" t="s">
        <v>174</v>
      </c>
      <c r="G32" s="41" t="s">
        <v>104</v>
      </c>
    </row>
    <row r="33" spans="1:7" x14ac:dyDescent="0.2">
      <c r="A33" s="13">
        <v>45804</v>
      </c>
      <c r="B33" s="41" t="s">
        <v>362</v>
      </c>
      <c r="C33">
        <v>-5.9200000762939453</v>
      </c>
      <c r="D33" s="41" t="s">
        <v>226</v>
      </c>
      <c r="E33" s="41" t="s">
        <v>174</v>
      </c>
      <c r="F33" s="41" t="s">
        <v>174</v>
      </c>
      <c r="G33" s="41" t="s">
        <v>104</v>
      </c>
    </row>
    <row r="34" spans="1:7" x14ac:dyDescent="0.2">
      <c r="A34" s="13">
        <v>45804</v>
      </c>
      <c r="B34" s="41" t="s">
        <v>130</v>
      </c>
      <c r="C34">
        <v>-124</v>
      </c>
      <c r="D34" s="41" t="s">
        <v>230</v>
      </c>
      <c r="E34" s="41" t="s">
        <v>174</v>
      </c>
      <c r="F34" s="41" t="s">
        <v>103</v>
      </c>
      <c r="G34" s="41" t="s">
        <v>105</v>
      </c>
    </row>
    <row r="35" spans="1:7" x14ac:dyDescent="0.2">
      <c r="A35" s="13">
        <v>45804</v>
      </c>
      <c r="B35" s="41" t="s">
        <v>231</v>
      </c>
      <c r="C35">
        <v>-50</v>
      </c>
      <c r="D35" s="41" t="s">
        <v>230</v>
      </c>
      <c r="E35" s="41" t="s">
        <v>174</v>
      </c>
      <c r="F35" s="41" t="s">
        <v>103</v>
      </c>
      <c r="G35" s="41" t="s">
        <v>105</v>
      </c>
    </row>
    <row r="36" spans="1:7" x14ac:dyDescent="0.2">
      <c r="A36" s="13">
        <v>45805</v>
      </c>
      <c r="B36" s="41" t="s">
        <v>363</v>
      </c>
      <c r="C36">
        <v>-42.830001831054688</v>
      </c>
      <c r="D36" s="41" t="s">
        <v>208</v>
      </c>
      <c r="E36" s="41" t="s">
        <v>174</v>
      </c>
      <c r="F36" s="41" t="s">
        <v>174</v>
      </c>
      <c r="G36" s="41" t="s">
        <v>105</v>
      </c>
    </row>
    <row r="37" spans="1:7" x14ac:dyDescent="0.2">
      <c r="A37" s="13">
        <v>45805</v>
      </c>
      <c r="B37" s="41" t="s">
        <v>364</v>
      </c>
      <c r="C37">
        <v>-24.629999160766602</v>
      </c>
      <c r="D37" s="41" t="s">
        <v>216</v>
      </c>
      <c r="E37" s="41" t="s">
        <v>174</v>
      </c>
      <c r="F37" s="41" t="s">
        <v>174</v>
      </c>
      <c r="G37" s="41" t="s">
        <v>104</v>
      </c>
    </row>
    <row r="38" spans="1:7" x14ac:dyDescent="0.2">
      <c r="A38" s="13">
        <v>45805</v>
      </c>
      <c r="B38" s="41" t="s">
        <v>138</v>
      </c>
      <c r="C38">
        <v>-25.530000686645508</v>
      </c>
      <c r="D38" s="41" t="s">
        <v>206</v>
      </c>
      <c r="E38" s="41" t="s">
        <v>174</v>
      </c>
      <c r="F38" s="41" t="s">
        <v>174</v>
      </c>
      <c r="G38" s="41" t="s">
        <v>104</v>
      </c>
    </row>
    <row r="39" spans="1:7" x14ac:dyDescent="0.2">
      <c r="A39" s="13">
        <v>45805</v>
      </c>
      <c r="B39" s="41" t="s">
        <v>138</v>
      </c>
      <c r="C39">
        <v>-2.2899999618530273</v>
      </c>
      <c r="D39" s="41" t="s">
        <v>206</v>
      </c>
      <c r="E39" s="41" t="s">
        <v>174</v>
      </c>
      <c r="F39" s="41" t="s">
        <v>174</v>
      </c>
      <c r="G39" s="41" t="s">
        <v>104</v>
      </c>
    </row>
    <row r="40" spans="1:7" x14ac:dyDescent="0.2">
      <c r="A40" s="13">
        <v>45805</v>
      </c>
      <c r="B40" s="41" t="s">
        <v>254</v>
      </c>
      <c r="C40">
        <v>-12.760000228881836</v>
      </c>
      <c r="D40" s="41" t="s">
        <v>206</v>
      </c>
      <c r="E40" s="41" t="s">
        <v>174</v>
      </c>
      <c r="F40" s="41" t="s">
        <v>174</v>
      </c>
      <c r="G40" s="41" t="s">
        <v>104</v>
      </c>
    </row>
    <row r="41" spans="1:7" x14ac:dyDescent="0.2">
      <c r="A41" s="13">
        <v>45805</v>
      </c>
      <c r="B41" s="41" t="s">
        <v>336</v>
      </c>
      <c r="C41">
        <v>98.529998779296875</v>
      </c>
      <c r="D41" s="41" t="s">
        <v>337</v>
      </c>
      <c r="E41" s="41" t="s">
        <v>174</v>
      </c>
      <c r="F41" s="41" t="s">
        <v>174</v>
      </c>
      <c r="G41" s="41" t="s">
        <v>105</v>
      </c>
    </row>
    <row r="42" spans="1:7" x14ac:dyDescent="0.2">
      <c r="A42" s="13">
        <v>45805</v>
      </c>
      <c r="B42" s="41" t="s">
        <v>129</v>
      </c>
      <c r="C42">
        <v>-12</v>
      </c>
      <c r="D42" s="41" t="s">
        <v>229</v>
      </c>
      <c r="E42" s="41" t="s">
        <v>174</v>
      </c>
      <c r="F42" s="41" t="s">
        <v>174</v>
      </c>
      <c r="G42" s="41" t="s">
        <v>105</v>
      </c>
    </row>
    <row r="43" spans="1:7" x14ac:dyDescent="0.2">
      <c r="A43" s="13">
        <v>45805</v>
      </c>
      <c r="B43" s="41" t="s">
        <v>129</v>
      </c>
      <c r="C43">
        <v>12</v>
      </c>
      <c r="D43" s="41" t="s">
        <v>229</v>
      </c>
      <c r="E43" s="41" t="s">
        <v>174</v>
      </c>
      <c r="F43" s="41" t="s">
        <v>174</v>
      </c>
      <c r="G43" s="41" t="s">
        <v>105</v>
      </c>
    </row>
    <row r="44" spans="1:7" x14ac:dyDescent="0.2">
      <c r="A44" s="13">
        <v>45805</v>
      </c>
      <c r="B44" s="41" t="s">
        <v>365</v>
      </c>
      <c r="C44">
        <v>-515</v>
      </c>
      <c r="D44" s="41" t="s">
        <v>223</v>
      </c>
      <c r="E44" s="41" t="s">
        <v>174</v>
      </c>
      <c r="F44" s="41" t="s">
        <v>174</v>
      </c>
      <c r="G44" s="41" t="s">
        <v>105</v>
      </c>
    </row>
    <row r="45" spans="1:7" x14ac:dyDescent="0.2">
      <c r="A45" s="13">
        <v>45805</v>
      </c>
      <c r="B45" s="41" t="s">
        <v>366</v>
      </c>
      <c r="C45">
        <v>-73.330001831054688</v>
      </c>
      <c r="D45" s="41" t="s">
        <v>235</v>
      </c>
      <c r="E45" s="41" t="s">
        <v>174</v>
      </c>
      <c r="F45" s="41" t="s">
        <v>174</v>
      </c>
      <c r="G45" s="41" t="s">
        <v>105</v>
      </c>
    </row>
    <row r="46" spans="1:7" x14ac:dyDescent="0.2">
      <c r="A46" s="13">
        <v>45805</v>
      </c>
      <c r="B46" s="41" t="s">
        <v>367</v>
      </c>
      <c r="C46">
        <v>-441.8800048828125</v>
      </c>
      <c r="D46" s="41" t="s">
        <v>217</v>
      </c>
      <c r="E46" s="41" t="s">
        <v>174</v>
      </c>
      <c r="F46" s="41" t="s">
        <v>174</v>
      </c>
      <c r="G46" s="41" t="s">
        <v>104</v>
      </c>
    </row>
    <row r="47" spans="1:7" x14ac:dyDescent="0.2">
      <c r="A47" s="13">
        <v>45805</v>
      </c>
      <c r="B47" s="41" t="s">
        <v>228</v>
      </c>
      <c r="C47">
        <v>-59.459999084472656</v>
      </c>
      <c r="D47" s="41" t="s">
        <v>216</v>
      </c>
      <c r="E47" s="41" t="s">
        <v>174</v>
      </c>
      <c r="F47" s="41" t="s">
        <v>174</v>
      </c>
      <c r="G47" s="41" t="s">
        <v>104</v>
      </c>
    </row>
    <row r="48" spans="1:7" x14ac:dyDescent="0.2">
      <c r="A48" s="13">
        <v>45806</v>
      </c>
      <c r="B48" s="41" t="s">
        <v>368</v>
      </c>
      <c r="C48">
        <v>-14.989999771118164</v>
      </c>
      <c r="D48" s="41" t="s">
        <v>211</v>
      </c>
      <c r="E48" s="41" t="s">
        <v>174</v>
      </c>
      <c r="F48" s="41" t="s">
        <v>174</v>
      </c>
      <c r="G48" s="41" t="s">
        <v>105</v>
      </c>
    </row>
    <row r="49" spans="1:7" x14ac:dyDescent="0.2">
      <c r="A49" s="13">
        <v>45806</v>
      </c>
      <c r="B49" s="41" t="s">
        <v>369</v>
      </c>
      <c r="C49">
        <v>15.159999847412109</v>
      </c>
      <c r="D49" s="41" t="s">
        <v>213</v>
      </c>
      <c r="E49" s="41" t="s">
        <v>174</v>
      </c>
      <c r="F49" s="41" t="s">
        <v>174</v>
      </c>
      <c r="G49" s="41" t="s">
        <v>104</v>
      </c>
    </row>
    <row r="50" spans="1:7" x14ac:dyDescent="0.2">
      <c r="A50" s="13">
        <v>45807</v>
      </c>
      <c r="B50" s="41" t="s">
        <v>240</v>
      </c>
      <c r="C50">
        <v>617.6500244140625</v>
      </c>
      <c r="D50" s="41" t="s">
        <v>213</v>
      </c>
      <c r="E50" s="41" t="s">
        <v>174</v>
      </c>
      <c r="F50" s="41" t="s">
        <v>174</v>
      </c>
      <c r="G50" s="41" t="s">
        <v>104</v>
      </c>
    </row>
    <row r="51" spans="1:7" x14ac:dyDescent="0.2">
      <c r="A51" s="13">
        <v>45807</v>
      </c>
      <c r="B51" s="41" t="s">
        <v>370</v>
      </c>
      <c r="C51">
        <v>-16.479999542236328</v>
      </c>
      <c r="D51" s="41" t="s">
        <v>226</v>
      </c>
      <c r="E51" s="41" t="s">
        <v>174</v>
      </c>
      <c r="F51" s="41" t="s">
        <v>174</v>
      </c>
      <c r="G51" s="41" t="s">
        <v>105</v>
      </c>
    </row>
    <row r="52" spans="1:7" x14ac:dyDescent="0.2">
      <c r="A52" s="13">
        <v>45808</v>
      </c>
      <c r="B52" s="41" t="s">
        <v>127</v>
      </c>
      <c r="C52">
        <v>15.979999542236328</v>
      </c>
      <c r="D52" s="41" t="s">
        <v>213</v>
      </c>
      <c r="E52" s="41" t="s">
        <v>174</v>
      </c>
      <c r="F52" s="41" t="s">
        <v>174</v>
      </c>
      <c r="G52" s="41" t="s">
        <v>104</v>
      </c>
    </row>
    <row r="53" spans="1:7" x14ac:dyDescent="0.2">
      <c r="A53" s="13">
        <v>45809</v>
      </c>
      <c r="B53" s="41" t="s">
        <v>116</v>
      </c>
      <c r="C53">
        <v>-9.9899997711181641</v>
      </c>
      <c r="D53" s="41" t="s">
        <v>211</v>
      </c>
      <c r="E53" s="41" t="s">
        <v>174</v>
      </c>
      <c r="F53" s="41" t="s">
        <v>103</v>
      </c>
      <c r="G53" s="41" t="s">
        <v>105</v>
      </c>
    </row>
    <row r="54" spans="1:7" x14ac:dyDescent="0.2">
      <c r="A54" s="13">
        <v>45810</v>
      </c>
      <c r="B54" s="41" t="s">
        <v>374</v>
      </c>
      <c r="C54">
        <v>3.5</v>
      </c>
      <c r="D54" s="41" t="s">
        <v>126</v>
      </c>
      <c r="E54" s="41" t="s">
        <v>174</v>
      </c>
      <c r="F54" s="41" t="s">
        <v>174</v>
      </c>
      <c r="G54" s="41" t="s">
        <v>104</v>
      </c>
    </row>
    <row r="55" spans="1:7" x14ac:dyDescent="0.2">
      <c r="A55" s="13">
        <v>45810</v>
      </c>
      <c r="B55" s="41" t="s">
        <v>371</v>
      </c>
      <c r="C55">
        <v>-2.3599998950958252</v>
      </c>
      <c r="D55" s="41" t="s">
        <v>238</v>
      </c>
      <c r="E55" s="41" t="s">
        <v>174</v>
      </c>
      <c r="F55" s="41" t="s">
        <v>174</v>
      </c>
      <c r="G55" s="41" t="s">
        <v>105</v>
      </c>
    </row>
    <row r="56" spans="1:7" x14ac:dyDescent="0.2">
      <c r="A56" s="13">
        <v>45810</v>
      </c>
      <c r="B56" s="41" t="s">
        <v>372</v>
      </c>
      <c r="C56">
        <v>-5.0999999046325684</v>
      </c>
      <c r="D56" s="41" t="s">
        <v>226</v>
      </c>
      <c r="E56" s="41" t="s">
        <v>174</v>
      </c>
      <c r="F56" s="41" t="s">
        <v>174</v>
      </c>
      <c r="G56" s="41" t="s">
        <v>105</v>
      </c>
    </row>
    <row r="57" spans="1:7" x14ac:dyDescent="0.2">
      <c r="A57" s="13">
        <v>45810</v>
      </c>
      <c r="B57" s="41" t="s">
        <v>372</v>
      </c>
      <c r="C57">
        <v>-3.1500000953674316</v>
      </c>
      <c r="D57" s="41" t="s">
        <v>226</v>
      </c>
      <c r="E57" s="41" t="s">
        <v>174</v>
      </c>
      <c r="F57" s="41" t="s">
        <v>174</v>
      </c>
      <c r="G57" s="41" t="s">
        <v>105</v>
      </c>
    </row>
    <row r="58" spans="1:7" x14ac:dyDescent="0.2">
      <c r="A58" s="13">
        <v>45810</v>
      </c>
      <c r="B58" s="41" t="s">
        <v>375</v>
      </c>
      <c r="C58">
        <v>-74.790000915527344</v>
      </c>
      <c r="D58" s="41" t="s">
        <v>233</v>
      </c>
      <c r="E58" s="41" t="s">
        <v>174</v>
      </c>
      <c r="F58" s="41" t="s">
        <v>103</v>
      </c>
      <c r="G58" s="41" t="s">
        <v>104</v>
      </c>
    </row>
    <row r="59" spans="1:7" x14ac:dyDescent="0.2">
      <c r="A59" s="13">
        <v>45810</v>
      </c>
      <c r="B59" s="41" t="s">
        <v>373</v>
      </c>
      <c r="C59">
        <v>-59.090000152587891</v>
      </c>
      <c r="D59" s="41" t="s">
        <v>219</v>
      </c>
      <c r="E59" s="41" t="s">
        <v>174</v>
      </c>
      <c r="F59" s="41" t="s">
        <v>174</v>
      </c>
      <c r="G59" s="41" t="s">
        <v>105</v>
      </c>
    </row>
    <row r="60" spans="1:7" x14ac:dyDescent="0.2">
      <c r="A60" s="13">
        <v>45811</v>
      </c>
      <c r="B60" s="41" t="s">
        <v>376</v>
      </c>
      <c r="C60">
        <v>-5.5900001525878906</v>
      </c>
      <c r="D60" s="41" t="s">
        <v>232</v>
      </c>
      <c r="E60" s="41" t="s">
        <v>174</v>
      </c>
      <c r="F60" s="41" t="s">
        <v>103</v>
      </c>
      <c r="G60" s="41" t="s">
        <v>104</v>
      </c>
    </row>
    <row r="61" spans="1:7" x14ac:dyDescent="0.2">
      <c r="A61" s="13">
        <v>45811</v>
      </c>
      <c r="B61" s="41" t="s">
        <v>377</v>
      </c>
      <c r="C61">
        <v>-13.920000076293945</v>
      </c>
      <c r="D61" s="41" t="s">
        <v>226</v>
      </c>
      <c r="E61" s="41" t="s">
        <v>174</v>
      </c>
      <c r="F61" s="41" t="s">
        <v>174</v>
      </c>
      <c r="G61" s="41" t="s">
        <v>104</v>
      </c>
    </row>
    <row r="62" spans="1:7" x14ac:dyDescent="0.2">
      <c r="A62" s="13">
        <v>45811</v>
      </c>
      <c r="B62" s="41" t="s">
        <v>378</v>
      </c>
      <c r="C62">
        <v>-359.22000122070312</v>
      </c>
      <c r="D62" s="41" t="s">
        <v>218</v>
      </c>
      <c r="E62" s="41" t="s">
        <v>174</v>
      </c>
      <c r="F62" s="41" t="s">
        <v>174</v>
      </c>
      <c r="G62" s="41" t="s">
        <v>104</v>
      </c>
    </row>
    <row r="63" spans="1:7" x14ac:dyDescent="0.2">
      <c r="A63" s="13">
        <v>45811</v>
      </c>
      <c r="B63" s="41" t="s">
        <v>224</v>
      </c>
      <c r="C63">
        <v>-40</v>
      </c>
      <c r="D63" s="41" t="s">
        <v>225</v>
      </c>
      <c r="E63" s="41" t="s">
        <v>174</v>
      </c>
      <c r="F63" s="41" t="s">
        <v>174</v>
      </c>
      <c r="G63" s="41" t="s">
        <v>105</v>
      </c>
    </row>
    <row r="64" spans="1:7" x14ac:dyDescent="0.2">
      <c r="A64" s="13">
        <v>45812</v>
      </c>
      <c r="B64" s="41" t="s">
        <v>139</v>
      </c>
      <c r="C64">
        <v>-3.3900001049041748</v>
      </c>
      <c r="D64" s="41" t="s">
        <v>206</v>
      </c>
      <c r="E64" s="41" t="s">
        <v>174</v>
      </c>
      <c r="F64" s="41" t="s">
        <v>174</v>
      </c>
      <c r="G64" s="41" t="s">
        <v>104</v>
      </c>
    </row>
    <row r="65" spans="1:7" x14ac:dyDescent="0.2">
      <c r="A65" s="13">
        <v>45812</v>
      </c>
      <c r="B65" s="41" t="s">
        <v>138</v>
      </c>
      <c r="C65">
        <v>-121.73999786376953</v>
      </c>
      <c r="D65" s="41" t="s">
        <v>206</v>
      </c>
      <c r="E65" s="41" t="s">
        <v>174</v>
      </c>
      <c r="F65" s="41" t="s">
        <v>174</v>
      </c>
      <c r="G65" s="41" t="s">
        <v>104</v>
      </c>
    </row>
    <row r="66" spans="1:7" x14ac:dyDescent="0.2">
      <c r="A66" s="13">
        <v>45813</v>
      </c>
      <c r="B66" s="41" t="s">
        <v>379</v>
      </c>
      <c r="C66">
        <v>-3.0899999141693115</v>
      </c>
      <c r="D66" s="41" t="s">
        <v>206</v>
      </c>
      <c r="E66" s="41" t="s">
        <v>174</v>
      </c>
      <c r="F66" s="41" t="s">
        <v>174</v>
      </c>
      <c r="G66" s="41" t="s">
        <v>104</v>
      </c>
    </row>
    <row r="67" spans="1:7" x14ac:dyDescent="0.2">
      <c r="A67" s="13">
        <v>45813</v>
      </c>
      <c r="B67" s="41" t="s">
        <v>139</v>
      </c>
      <c r="C67">
        <v>-3.4900000095367432</v>
      </c>
      <c r="D67" s="41" t="s">
        <v>206</v>
      </c>
      <c r="E67" s="41" t="s">
        <v>174</v>
      </c>
      <c r="F67" s="41" t="s">
        <v>174</v>
      </c>
      <c r="G67" s="41" t="s">
        <v>104</v>
      </c>
    </row>
    <row r="68" spans="1:7" x14ac:dyDescent="0.2">
      <c r="A68" s="13">
        <v>45813</v>
      </c>
      <c r="B68" s="41" t="s">
        <v>116</v>
      </c>
      <c r="C68">
        <v>-18.989999771118164</v>
      </c>
      <c r="D68" s="41" t="s">
        <v>211</v>
      </c>
      <c r="E68" s="41" t="s">
        <v>174</v>
      </c>
      <c r="F68" s="41" t="s">
        <v>103</v>
      </c>
      <c r="G68" s="41" t="s">
        <v>105</v>
      </c>
    </row>
    <row r="69" spans="1:7" x14ac:dyDescent="0.2">
      <c r="A69" s="13">
        <v>45813</v>
      </c>
      <c r="B69" s="41" t="s">
        <v>273</v>
      </c>
      <c r="C69">
        <v>-40</v>
      </c>
      <c r="D69" s="41" t="s">
        <v>235</v>
      </c>
      <c r="E69" s="41" t="s">
        <v>174</v>
      </c>
      <c r="F69" s="41" t="s">
        <v>174</v>
      </c>
      <c r="G69" s="41" t="s">
        <v>104</v>
      </c>
    </row>
    <row r="70" spans="1:7" x14ac:dyDescent="0.2">
      <c r="A70" s="13">
        <v>45814</v>
      </c>
      <c r="B70" s="41" t="s">
        <v>139</v>
      </c>
      <c r="C70">
        <v>-3.4900000095367432</v>
      </c>
      <c r="D70" s="41" t="s">
        <v>206</v>
      </c>
      <c r="E70" s="41" t="s">
        <v>174</v>
      </c>
      <c r="F70" s="41" t="s">
        <v>174</v>
      </c>
      <c r="G70" s="41" t="s">
        <v>104</v>
      </c>
    </row>
    <row r="71" spans="1:7" x14ac:dyDescent="0.2">
      <c r="A71" s="13">
        <v>45815</v>
      </c>
      <c r="B71" s="41" t="s">
        <v>380</v>
      </c>
      <c r="C71">
        <v>-12</v>
      </c>
      <c r="D71" s="41" t="s">
        <v>205</v>
      </c>
      <c r="E71" s="41" t="s">
        <v>174</v>
      </c>
      <c r="F71" s="41" t="s">
        <v>174</v>
      </c>
      <c r="G71" s="41" t="s">
        <v>104</v>
      </c>
    </row>
    <row r="72" spans="1:7" x14ac:dyDescent="0.2">
      <c r="A72" s="13">
        <v>45815</v>
      </c>
      <c r="B72" s="41" t="s">
        <v>381</v>
      </c>
      <c r="C72">
        <v>-10</v>
      </c>
      <c r="D72" s="41" t="s">
        <v>226</v>
      </c>
      <c r="E72" s="41" t="s">
        <v>174</v>
      </c>
      <c r="F72" s="41" t="s">
        <v>174</v>
      </c>
      <c r="G72" s="41" t="s">
        <v>105</v>
      </c>
    </row>
    <row r="73" spans="1:7" x14ac:dyDescent="0.2">
      <c r="A73" s="13">
        <v>45815</v>
      </c>
      <c r="B73" s="41" t="s">
        <v>381</v>
      </c>
      <c r="C73">
        <v>-5</v>
      </c>
      <c r="D73" s="41" t="s">
        <v>226</v>
      </c>
      <c r="E73" s="41" t="s">
        <v>174</v>
      </c>
      <c r="F73" s="41" t="s">
        <v>174</v>
      </c>
      <c r="G73" s="41" t="s">
        <v>105</v>
      </c>
    </row>
    <row r="74" spans="1:7" x14ac:dyDescent="0.2">
      <c r="A74" s="13">
        <v>45815</v>
      </c>
      <c r="B74" s="41" t="s">
        <v>382</v>
      </c>
      <c r="C74">
        <v>-205.47999572753906</v>
      </c>
      <c r="D74" s="41" t="s">
        <v>205</v>
      </c>
      <c r="E74" s="41" t="s">
        <v>174</v>
      </c>
      <c r="F74" s="41" t="s">
        <v>174</v>
      </c>
      <c r="G74" s="41" t="s">
        <v>104</v>
      </c>
    </row>
    <row r="75" spans="1:7" x14ac:dyDescent="0.2">
      <c r="A75" s="13">
        <v>45816</v>
      </c>
      <c r="B75" s="41" t="s">
        <v>383</v>
      </c>
      <c r="C75">
        <v>-20.030000686645508</v>
      </c>
      <c r="D75" s="41" t="s">
        <v>211</v>
      </c>
      <c r="E75" s="41" t="s">
        <v>174</v>
      </c>
      <c r="F75" s="41" t="s">
        <v>174</v>
      </c>
      <c r="G75" s="41" t="s">
        <v>105</v>
      </c>
    </row>
    <row r="76" spans="1:7" x14ac:dyDescent="0.2">
      <c r="A76" s="13">
        <v>45816</v>
      </c>
      <c r="B76" s="41" t="s">
        <v>384</v>
      </c>
      <c r="C76">
        <v>-5</v>
      </c>
      <c r="D76" s="41" t="s">
        <v>211</v>
      </c>
      <c r="E76" s="41" t="s">
        <v>174</v>
      </c>
      <c r="F76" s="41" t="s">
        <v>174</v>
      </c>
      <c r="G76" s="41" t="s">
        <v>105</v>
      </c>
    </row>
    <row r="77" spans="1:7" x14ac:dyDescent="0.2">
      <c r="A77" s="13">
        <v>45817</v>
      </c>
      <c r="B77" s="41" t="s">
        <v>139</v>
      </c>
      <c r="C77">
        <v>-4.2800002098083496</v>
      </c>
      <c r="D77" s="41" t="s">
        <v>206</v>
      </c>
      <c r="E77" s="41" t="s">
        <v>174</v>
      </c>
      <c r="F77" s="41" t="s">
        <v>174</v>
      </c>
      <c r="G77" s="41" t="s">
        <v>104</v>
      </c>
    </row>
    <row r="78" spans="1:7" x14ac:dyDescent="0.2">
      <c r="A78" s="13">
        <v>45817</v>
      </c>
      <c r="B78" s="41" t="s">
        <v>385</v>
      </c>
      <c r="C78">
        <v>-3.2400000095367432</v>
      </c>
      <c r="D78" s="41" t="s">
        <v>205</v>
      </c>
      <c r="E78" s="41" t="s">
        <v>174</v>
      </c>
      <c r="F78" s="41" t="s">
        <v>174</v>
      </c>
      <c r="G78" s="41" t="s">
        <v>104</v>
      </c>
    </row>
    <row r="79" spans="1:7" x14ac:dyDescent="0.2">
      <c r="A79" s="13">
        <v>45817</v>
      </c>
      <c r="B79" s="41" t="s">
        <v>386</v>
      </c>
      <c r="C79">
        <v>-300</v>
      </c>
      <c r="D79" s="41" t="s">
        <v>216</v>
      </c>
      <c r="E79" s="41" t="s">
        <v>174</v>
      </c>
      <c r="F79" s="41" t="s">
        <v>174</v>
      </c>
      <c r="G79" s="41" t="s">
        <v>104</v>
      </c>
    </row>
    <row r="80" spans="1:7" x14ac:dyDescent="0.2">
      <c r="A80" s="13">
        <v>45817</v>
      </c>
      <c r="B80" s="41" t="s">
        <v>387</v>
      </c>
      <c r="C80">
        <v>-474.6400146484375</v>
      </c>
      <c r="D80" s="41" t="s">
        <v>223</v>
      </c>
      <c r="E80" s="41" t="s">
        <v>174</v>
      </c>
      <c r="F80" s="41" t="s">
        <v>174</v>
      </c>
      <c r="G80" s="41" t="s">
        <v>104</v>
      </c>
    </row>
    <row r="81" spans="1:7" x14ac:dyDescent="0.2">
      <c r="A81" s="13">
        <v>45818</v>
      </c>
      <c r="B81" s="41" t="s">
        <v>133</v>
      </c>
      <c r="C81">
        <v>-2.5899999141693115</v>
      </c>
      <c r="D81" s="41" t="s">
        <v>206</v>
      </c>
      <c r="E81" s="41" t="s">
        <v>174</v>
      </c>
      <c r="F81" s="41" t="s">
        <v>174</v>
      </c>
      <c r="G81" s="41" t="s">
        <v>105</v>
      </c>
    </row>
    <row r="82" spans="1:7" x14ac:dyDescent="0.2">
      <c r="A82" s="13">
        <v>45818</v>
      </c>
      <c r="B82" s="41" t="s">
        <v>388</v>
      </c>
      <c r="C82">
        <v>-14.979999542236328</v>
      </c>
      <c r="D82" s="41" t="s">
        <v>211</v>
      </c>
      <c r="E82" s="41" t="s">
        <v>174</v>
      </c>
      <c r="F82" s="41" t="s">
        <v>174</v>
      </c>
      <c r="G82" s="41" t="s">
        <v>105</v>
      </c>
    </row>
    <row r="83" spans="1:7" x14ac:dyDescent="0.2">
      <c r="A83" s="13">
        <v>45818</v>
      </c>
      <c r="B83" s="41" t="s">
        <v>389</v>
      </c>
      <c r="C83">
        <v>-441.8800048828125</v>
      </c>
      <c r="D83" s="41" t="s">
        <v>217</v>
      </c>
      <c r="E83" s="41" t="s">
        <v>174</v>
      </c>
      <c r="F83" s="41" t="s">
        <v>174</v>
      </c>
      <c r="G83" s="41" t="s">
        <v>104</v>
      </c>
    </row>
    <row r="84" spans="1:7" x14ac:dyDescent="0.2">
      <c r="A84" s="13">
        <v>45819</v>
      </c>
      <c r="B84" s="41" t="s">
        <v>137</v>
      </c>
      <c r="C84">
        <v>-5.880000114440918</v>
      </c>
      <c r="D84" s="41" t="s">
        <v>206</v>
      </c>
      <c r="E84" s="41" t="s">
        <v>174</v>
      </c>
      <c r="F84" s="41" t="s">
        <v>174</v>
      </c>
      <c r="G84" s="41" t="s">
        <v>105</v>
      </c>
    </row>
    <row r="85" spans="1:7" x14ac:dyDescent="0.2">
      <c r="A85" s="13">
        <v>45819</v>
      </c>
      <c r="B85" s="41" t="s">
        <v>272</v>
      </c>
      <c r="C85">
        <v>1182.3599853515625</v>
      </c>
      <c r="D85" s="41" t="s">
        <v>209</v>
      </c>
      <c r="E85" s="41" t="s">
        <v>128</v>
      </c>
      <c r="F85" s="41" t="s">
        <v>174</v>
      </c>
      <c r="G85" s="41" t="s">
        <v>105</v>
      </c>
    </row>
    <row r="86" spans="1:7" x14ac:dyDescent="0.2">
      <c r="A86" s="13">
        <v>45820</v>
      </c>
      <c r="B86" s="41" t="s">
        <v>390</v>
      </c>
      <c r="C86">
        <v>-1182.3599853515625</v>
      </c>
      <c r="D86" s="41" t="s">
        <v>212</v>
      </c>
      <c r="E86" s="41" t="s">
        <v>128</v>
      </c>
      <c r="F86" s="41" t="s">
        <v>174</v>
      </c>
      <c r="G86" s="41" t="s">
        <v>104</v>
      </c>
    </row>
    <row r="87" spans="1:7" x14ac:dyDescent="0.2">
      <c r="A87" s="13">
        <v>45820</v>
      </c>
      <c r="B87" s="41" t="s">
        <v>391</v>
      </c>
      <c r="C87">
        <v>2877.22998046875</v>
      </c>
      <c r="D87" s="41" t="s">
        <v>213</v>
      </c>
      <c r="E87" s="41" t="s">
        <v>174</v>
      </c>
      <c r="F87" s="41" t="s">
        <v>174</v>
      </c>
      <c r="G87" s="41" t="s">
        <v>104</v>
      </c>
    </row>
    <row r="88" spans="1:7" x14ac:dyDescent="0.2">
      <c r="A88" s="13">
        <v>45821</v>
      </c>
      <c r="B88" s="41" t="s">
        <v>392</v>
      </c>
      <c r="C88">
        <v>-12.5</v>
      </c>
      <c r="D88" s="41" t="s">
        <v>211</v>
      </c>
      <c r="E88" s="41" t="s">
        <v>174</v>
      </c>
      <c r="F88" s="41" t="s">
        <v>103</v>
      </c>
      <c r="G88" s="41" t="s">
        <v>105</v>
      </c>
    </row>
    <row r="89" spans="1:7" x14ac:dyDescent="0.2">
      <c r="A89" s="13">
        <v>45821</v>
      </c>
      <c r="B89" s="41" t="s">
        <v>393</v>
      </c>
      <c r="C89">
        <v>-77.720001220703125</v>
      </c>
      <c r="D89" s="41" t="s">
        <v>205</v>
      </c>
      <c r="E89" s="41" t="s">
        <v>174</v>
      </c>
      <c r="F89" s="41" t="s">
        <v>103</v>
      </c>
      <c r="G89" s="41" t="s">
        <v>104</v>
      </c>
    </row>
    <row r="90" spans="1:7" x14ac:dyDescent="0.2">
      <c r="A90" s="13">
        <v>45821</v>
      </c>
      <c r="B90" s="41" t="s">
        <v>394</v>
      </c>
      <c r="C90">
        <v>-2.9900000095367432</v>
      </c>
      <c r="D90" s="41" t="s">
        <v>206</v>
      </c>
      <c r="E90" s="41" t="s">
        <v>174</v>
      </c>
      <c r="F90" s="41" t="s">
        <v>174</v>
      </c>
      <c r="G90" s="41" t="s">
        <v>104</v>
      </c>
    </row>
    <row r="91" spans="1:7" x14ac:dyDescent="0.2">
      <c r="A91" s="13">
        <v>45822</v>
      </c>
      <c r="B91" s="41" t="s">
        <v>395</v>
      </c>
      <c r="C91">
        <v>-27</v>
      </c>
      <c r="D91" s="41" t="s">
        <v>396</v>
      </c>
      <c r="E91" s="41" t="s">
        <v>174</v>
      </c>
      <c r="F91" s="41" t="s">
        <v>174</v>
      </c>
      <c r="G91" s="41" t="s">
        <v>104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99A78-87C1-CC47-9F5F-8D11457D5A7A}">
  <dimension ref="A1:AH721"/>
  <sheetViews>
    <sheetView tabSelected="1" topLeftCell="B1" zoomScale="120" zoomScaleNormal="120" workbookViewId="0">
      <pane ySplit="1" topLeftCell="A2" activePane="bottomLeft" state="frozen"/>
      <selection pane="bottomLeft" activeCell="I35" sqref="I35"/>
    </sheetView>
  </sheetViews>
  <sheetFormatPr baseColWidth="10" defaultRowHeight="16" x14ac:dyDescent="0.2"/>
  <cols>
    <col min="1" max="1" width="9.83203125" style="3" bestFit="1" customWidth="1"/>
    <col min="2" max="2" width="75" bestFit="1" customWidth="1"/>
    <col min="3" max="3" width="13.1640625" bestFit="1" customWidth="1"/>
    <col min="4" max="4" width="28.5" bestFit="1" customWidth="1"/>
    <col min="5" max="5" width="2" bestFit="1" customWidth="1"/>
    <col min="6" max="6" width="2.83203125" bestFit="1" customWidth="1"/>
    <col min="7" max="7" width="18" bestFit="1" customWidth="1"/>
    <col min="18" max="18" width="9.33203125" bestFit="1" customWidth="1"/>
    <col min="19" max="19" width="9.33203125" customWidth="1"/>
    <col min="20" max="20" width="11.1640625" customWidth="1"/>
    <col min="21" max="23" width="12" customWidth="1"/>
    <col min="24" max="24" width="10.83203125" style="4"/>
    <col min="28" max="28" width="11.5" bestFit="1" customWidth="1"/>
  </cols>
  <sheetData>
    <row r="1" spans="1:31" x14ac:dyDescent="0.2">
      <c r="A1" s="42" t="s">
        <v>167</v>
      </c>
      <c r="B1" s="43" t="s">
        <v>168</v>
      </c>
      <c r="C1" s="43" t="s">
        <v>169</v>
      </c>
      <c r="D1" s="43" t="s">
        <v>170</v>
      </c>
      <c r="E1" s="43" t="s">
        <v>171</v>
      </c>
      <c r="F1" s="43" t="s">
        <v>172</v>
      </c>
      <c r="G1" s="46" t="s">
        <v>173</v>
      </c>
      <c r="H1" s="1" t="s">
        <v>7</v>
      </c>
      <c r="I1" t="s">
        <v>97</v>
      </c>
      <c r="J1" t="s">
        <v>8</v>
      </c>
      <c r="K1" t="s">
        <v>9</v>
      </c>
      <c r="L1" t="s">
        <v>87</v>
      </c>
      <c r="M1" t="s">
        <v>90</v>
      </c>
      <c r="N1" t="s">
        <v>91</v>
      </c>
      <c r="O1" t="s">
        <v>10</v>
      </c>
      <c r="P1" t="s">
        <v>96</v>
      </c>
      <c r="Q1" t="s">
        <v>11</v>
      </c>
      <c r="R1" t="s">
        <v>50</v>
      </c>
      <c r="S1" t="s">
        <v>51</v>
      </c>
      <c r="T1" t="s">
        <v>13</v>
      </c>
      <c r="U1" t="s">
        <v>14</v>
      </c>
      <c r="V1" t="s">
        <v>48</v>
      </c>
      <c r="W1" t="s">
        <v>433</v>
      </c>
      <c r="X1" s="4" t="s">
        <v>12</v>
      </c>
      <c r="Y1" t="s">
        <v>11</v>
      </c>
      <c r="AA1" t="s">
        <v>52</v>
      </c>
      <c r="AB1" s="3">
        <v>44562</v>
      </c>
      <c r="AD1" t="s">
        <v>48</v>
      </c>
    </row>
    <row r="2" spans="1:31" x14ac:dyDescent="0.2">
      <c r="A2" s="47">
        <v>45792</v>
      </c>
      <c r="B2" s="48" t="s">
        <v>139</v>
      </c>
      <c r="C2" s="44">
        <v>-4</v>
      </c>
      <c r="D2" s="48" t="s">
        <v>206</v>
      </c>
      <c r="E2" s="48" t="s">
        <v>174</v>
      </c>
      <c r="F2" s="48" t="s">
        <v>174</v>
      </c>
      <c r="G2" s="49" t="s">
        <v>104</v>
      </c>
      <c r="H2" s="7"/>
      <c r="I2" s="9">
        <f t="shared" ref="I2:I33" si="0">IF(EXACT(F2,"M"),C2,0)</f>
        <v>0</v>
      </c>
      <c r="J2" s="9">
        <f t="shared" ref="J2:J33" si="1">IF(EXACT(G2,"CheckingStarOneTXs"),C2,0)</f>
        <v>-4</v>
      </c>
      <c r="K2" s="9">
        <f t="shared" ref="K2:K33" si="2">IF(AND(C2&lt;0,EXACT(G2,"VisaChaseTXs")),C2,0)</f>
        <v>0</v>
      </c>
      <c r="L2" s="8">
        <f t="shared" ref="L2:L33" si="3">IF(AND(AND(F2="",C2&lt;0),E2=""),C2,0)</f>
        <v>-4</v>
      </c>
      <c r="M2" s="8">
        <f t="shared" ref="M2:M33" si="4">IF(F2="T",C2,0)</f>
        <v>0</v>
      </c>
      <c r="N2" s="8">
        <f t="shared" ref="N2:N33" si="5">IF(D2="Transfer Savings",C2,0)</f>
        <v>0</v>
      </c>
      <c r="P2" s="8">
        <f t="shared" ref="P2:P33" si="6">IF(AND(IF(C2&lt;0,C2,FALSE),E2&lt;&gt;"y"),C2,0)</f>
        <v>-4</v>
      </c>
      <c r="Q2" s="8">
        <f>P2</f>
        <v>-4</v>
      </c>
      <c r="R2" s="8">
        <f t="shared" ref="R2:R33" si="7">IF(ISBLANK(A2),"",ABS($AB$1-(A2+10)))</f>
        <v>1240</v>
      </c>
      <c r="S2" s="8">
        <f>IF(ISBLANK(A2),"",ABS($AB$2-(A2+$AA$5)))</f>
        <v>1052</v>
      </c>
      <c r="T2" s="8">
        <f>Q2</f>
        <v>-4</v>
      </c>
      <c r="U2" s="9">
        <f>IF(S2="","",ABS(T2))</f>
        <v>4</v>
      </c>
      <c r="V2" s="9">
        <f>IF(C2&gt;0,C2,0)</f>
        <v>0</v>
      </c>
      <c r="W2" s="9">
        <f>V2</f>
        <v>0</v>
      </c>
      <c r="X2" s="12">
        <f>S2-1</f>
        <v>1051</v>
      </c>
      <c r="Y2" s="9">
        <v>0</v>
      </c>
      <c r="AA2" t="s">
        <v>16</v>
      </c>
      <c r="AB2" s="13">
        <v>44741</v>
      </c>
      <c r="AC2">
        <f>S2-1</f>
        <v>1051</v>
      </c>
      <c r="AD2">
        <v>0</v>
      </c>
    </row>
    <row r="3" spans="1:31" x14ac:dyDescent="0.2">
      <c r="A3" s="50">
        <v>45792</v>
      </c>
      <c r="B3" s="51" t="s">
        <v>271</v>
      </c>
      <c r="C3" s="45">
        <v>-162.83000183105469</v>
      </c>
      <c r="D3" s="51" t="s">
        <v>215</v>
      </c>
      <c r="E3" s="51" t="s">
        <v>174</v>
      </c>
      <c r="F3" s="51" t="s">
        <v>103</v>
      </c>
      <c r="G3" s="52" t="s">
        <v>104</v>
      </c>
      <c r="H3" s="7"/>
      <c r="I3" s="9">
        <f t="shared" si="0"/>
        <v>-162.83000183105469</v>
      </c>
      <c r="J3" s="9">
        <f t="shared" si="1"/>
        <v>-162.83000183105469</v>
      </c>
      <c r="K3" s="9">
        <f t="shared" si="2"/>
        <v>0</v>
      </c>
      <c r="L3" s="8">
        <f t="shared" si="3"/>
        <v>0</v>
      </c>
      <c r="M3" s="8">
        <f t="shared" si="4"/>
        <v>0</v>
      </c>
      <c r="N3" s="8">
        <f t="shared" si="5"/>
        <v>0</v>
      </c>
      <c r="P3" s="8">
        <f t="shared" si="6"/>
        <v>-162.83000183105469</v>
      </c>
      <c r="Q3" s="8">
        <f t="shared" ref="Q3:Q36" si="8">P3</f>
        <v>-162.83000183105469</v>
      </c>
      <c r="R3" s="8">
        <f t="shared" si="7"/>
        <v>1240</v>
      </c>
      <c r="S3" s="8">
        <f t="shared" ref="S3:S66" si="9">IF(ISBLANK(A3),"",ABS($AB$2-(A3+$AA$5)))</f>
        <v>1052</v>
      </c>
      <c r="T3" s="8">
        <f>T2+Q3</f>
        <v>-166.83000183105469</v>
      </c>
      <c r="U3" s="9">
        <f t="shared" ref="U3:U66" si="10">IF(S3="","",ABS(T3))</f>
        <v>166.83000183105469</v>
      </c>
      <c r="V3" s="9">
        <f t="shared" ref="V3:V66" si="11">IF(C3&gt;0,C3,0)</f>
        <v>0</v>
      </c>
      <c r="W3" s="9">
        <f>W2+V3</f>
        <v>0</v>
      </c>
      <c r="X3" s="12">
        <f>X2+30.41</f>
        <v>1081.4100000000001</v>
      </c>
      <c r="Y3" s="12">
        <f>I179</f>
        <v>0</v>
      </c>
      <c r="AC3">
        <f>AC2+30.4</f>
        <v>1081.4000000000001</v>
      </c>
      <c r="AD3">
        <f>SUM(AE4:AF4)</f>
        <v>7852.3200225830078</v>
      </c>
      <c r="AE3" t="s">
        <v>180</v>
      </c>
    </row>
    <row r="4" spans="1:31" x14ac:dyDescent="0.2">
      <c r="A4" s="47">
        <v>45792</v>
      </c>
      <c r="B4" s="48" t="s">
        <v>272</v>
      </c>
      <c r="C4" s="44">
        <v>1681.6500244140625</v>
      </c>
      <c r="D4" s="48" t="s">
        <v>209</v>
      </c>
      <c r="E4" s="48" t="s">
        <v>128</v>
      </c>
      <c r="F4" s="48" t="s">
        <v>174</v>
      </c>
      <c r="G4" s="49" t="s">
        <v>105</v>
      </c>
      <c r="H4" s="7"/>
      <c r="I4" s="9">
        <f t="shared" si="0"/>
        <v>0</v>
      </c>
      <c r="J4" s="9">
        <f t="shared" si="1"/>
        <v>0</v>
      </c>
      <c r="K4" s="9">
        <f t="shared" si="2"/>
        <v>0</v>
      </c>
      <c r="L4" s="8">
        <f t="shared" si="3"/>
        <v>0</v>
      </c>
      <c r="M4" s="8">
        <f t="shared" si="4"/>
        <v>0</v>
      </c>
      <c r="N4" s="8">
        <f t="shared" si="5"/>
        <v>0</v>
      </c>
      <c r="P4" s="8">
        <f t="shared" si="6"/>
        <v>0</v>
      </c>
      <c r="Q4" s="8">
        <f t="shared" si="8"/>
        <v>0</v>
      </c>
      <c r="R4" s="8">
        <f t="shared" si="7"/>
        <v>1240</v>
      </c>
      <c r="S4" s="8">
        <f t="shared" si="9"/>
        <v>1052</v>
      </c>
      <c r="T4" s="8">
        <f t="shared" ref="T3:T36" si="12">T3+Q4</f>
        <v>-166.83000183105469</v>
      </c>
      <c r="U4" s="9">
        <f t="shared" si="10"/>
        <v>166.83000183105469</v>
      </c>
      <c r="V4" s="9">
        <f t="shared" si="11"/>
        <v>1681.6500244140625</v>
      </c>
      <c r="W4" s="9">
        <f t="shared" ref="W4:W67" si="13">W3+V4</f>
        <v>1681.6500244140625</v>
      </c>
      <c r="AA4" t="s">
        <v>98</v>
      </c>
      <c r="AE4">
        <f>SUM($V$1:$V$200)</f>
        <v>7852.3200225830078</v>
      </c>
    </row>
    <row r="5" spans="1:31" x14ac:dyDescent="0.2">
      <c r="A5" s="50">
        <v>45792</v>
      </c>
      <c r="B5" s="51" t="s">
        <v>273</v>
      </c>
      <c r="C5" s="45">
        <v>-40</v>
      </c>
      <c r="D5" s="51" t="s">
        <v>235</v>
      </c>
      <c r="E5" s="51" t="s">
        <v>174</v>
      </c>
      <c r="F5" s="51" t="s">
        <v>174</v>
      </c>
      <c r="G5" s="52" t="s">
        <v>104</v>
      </c>
      <c r="H5" s="7"/>
      <c r="I5" s="9">
        <f t="shared" si="0"/>
        <v>0</v>
      </c>
      <c r="J5" s="9">
        <f t="shared" si="1"/>
        <v>-40</v>
      </c>
      <c r="K5" s="9">
        <f t="shared" si="2"/>
        <v>0</v>
      </c>
      <c r="L5" s="8">
        <f t="shared" si="3"/>
        <v>-40</v>
      </c>
      <c r="M5" s="8">
        <f t="shared" si="4"/>
        <v>0</v>
      </c>
      <c r="N5" s="8">
        <f t="shared" si="5"/>
        <v>0</v>
      </c>
      <c r="P5" s="8">
        <f t="shared" si="6"/>
        <v>-40</v>
      </c>
      <c r="Q5" s="8">
        <f t="shared" si="8"/>
        <v>-40</v>
      </c>
      <c r="R5" s="8">
        <f t="shared" si="7"/>
        <v>1240</v>
      </c>
      <c r="S5" s="8">
        <f t="shared" si="9"/>
        <v>1052</v>
      </c>
      <c r="T5" s="8">
        <f t="shared" si="12"/>
        <v>-206.83000183105469</v>
      </c>
      <c r="U5" s="9">
        <f t="shared" si="10"/>
        <v>206.83000183105469</v>
      </c>
      <c r="V5" s="9">
        <f t="shared" si="11"/>
        <v>0</v>
      </c>
      <c r="W5" s="9">
        <f t="shared" si="13"/>
        <v>1681.6500244140625</v>
      </c>
      <c r="AA5">
        <v>1</v>
      </c>
    </row>
    <row r="6" spans="1:31" x14ac:dyDescent="0.2">
      <c r="A6" s="47">
        <v>45792</v>
      </c>
      <c r="B6" s="48" t="s">
        <v>112</v>
      </c>
      <c r="C6" s="44">
        <v>-13.840000152587891</v>
      </c>
      <c r="D6" s="48" t="s">
        <v>218</v>
      </c>
      <c r="E6" s="48" t="s">
        <v>174</v>
      </c>
      <c r="F6" s="48" t="s">
        <v>103</v>
      </c>
      <c r="G6" s="49" t="s">
        <v>105</v>
      </c>
      <c r="H6" s="7"/>
      <c r="I6" s="9">
        <f t="shared" si="0"/>
        <v>-13.840000152587891</v>
      </c>
      <c r="J6" s="9">
        <f t="shared" si="1"/>
        <v>0</v>
      </c>
      <c r="K6" s="9">
        <f t="shared" si="2"/>
        <v>-13.840000152587891</v>
      </c>
      <c r="L6" s="8">
        <f t="shared" si="3"/>
        <v>0</v>
      </c>
      <c r="M6" s="8">
        <f t="shared" si="4"/>
        <v>0</v>
      </c>
      <c r="N6" s="8">
        <f t="shared" si="5"/>
        <v>0</v>
      </c>
      <c r="P6" s="8">
        <f t="shared" si="6"/>
        <v>-13.840000152587891</v>
      </c>
      <c r="Q6" s="8">
        <f t="shared" si="8"/>
        <v>-13.840000152587891</v>
      </c>
      <c r="R6" s="8">
        <f t="shared" si="7"/>
        <v>1240</v>
      </c>
      <c r="S6" s="8">
        <f t="shared" si="9"/>
        <v>1052</v>
      </c>
      <c r="T6" s="8">
        <f t="shared" si="12"/>
        <v>-220.67000198364258</v>
      </c>
      <c r="U6" s="9">
        <f t="shared" si="10"/>
        <v>220.67000198364258</v>
      </c>
      <c r="V6" s="9">
        <f t="shared" si="11"/>
        <v>0</v>
      </c>
      <c r="W6" s="9">
        <f t="shared" si="13"/>
        <v>1681.6500244140625</v>
      </c>
    </row>
    <row r="7" spans="1:31" x14ac:dyDescent="0.2">
      <c r="A7" s="50">
        <v>45793</v>
      </c>
      <c r="B7" s="51" t="s">
        <v>274</v>
      </c>
      <c r="C7" s="45">
        <v>-1681.6500244140625</v>
      </c>
      <c r="D7" s="51" t="s">
        <v>212</v>
      </c>
      <c r="E7" s="51" t="s">
        <v>128</v>
      </c>
      <c r="F7" s="51" t="s">
        <v>174</v>
      </c>
      <c r="G7" s="52" t="s">
        <v>104</v>
      </c>
      <c r="H7" s="7"/>
      <c r="I7" s="9">
        <f t="shared" si="0"/>
        <v>0</v>
      </c>
      <c r="J7" s="9">
        <f t="shared" si="1"/>
        <v>-1681.6500244140625</v>
      </c>
      <c r="K7" s="9">
        <f t="shared" si="2"/>
        <v>0</v>
      </c>
      <c r="L7" s="8">
        <f t="shared" si="3"/>
        <v>0</v>
      </c>
      <c r="M7" s="8">
        <f t="shared" si="4"/>
        <v>0</v>
      </c>
      <c r="N7" s="8">
        <f t="shared" si="5"/>
        <v>0</v>
      </c>
      <c r="P7" s="8">
        <f t="shared" si="6"/>
        <v>0</v>
      </c>
      <c r="Q7" s="8">
        <f t="shared" si="8"/>
        <v>0</v>
      </c>
      <c r="R7" s="8">
        <f t="shared" si="7"/>
        <v>1241</v>
      </c>
      <c r="S7" s="8">
        <f t="shared" si="9"/>
        <v>1053</v>
      </c>
      <c r="T7" s="8">
        <f t="shared" si="12"/>
        <v>-220.67000198364258</v>
      </c>
      <c r="U7" s="9">
        <f t="shared" si="10"/>
        <v>220.67000198364258</v>
      </c>
      <c r="V7" s="9">
        <f t="shared" si="11"/>
        <v>0</v>
      </c>
      <c r="W7" s="9">
        <f t="shared" si="13"/>
        <v>1681.6500244140625</v>
      </c>
    </row>
    <row r="8" spans="1:31" x14ac:dyDescent="0.2">
      <c r="A8" s="47">
        <v>45793</v>
      </c>
      <c r="B8" s="48" t="s">
        <v>323</v>
      </c>
      <c r="C8" s="44">
        <v>-3.0799999237060547</v>
      </c>
      <c r="D8" s="48" t="s">
        <v>235</v>
      </c>
      <c r="E8" s="48" t="s">
        <v>174</v>
      </c>
      <c r="F8" s="48" t="s">
        <v>174</v>
      </c>
      <c r="G8" s="49" t="s">
        <v>105</v>
      </c>
      <c r="H8" s="7"/>
      <c r="I8" s="9">
        <f t="shared" si="0"/>
        <v>0</v>
      </c>
      <c r="J8" s="9">
        <f t="shared" si="1"/>
        <v>0</v>
      </c>
      <c r="K8" s="9">
        <f t="shared" si="2"/>
        <v>-3.0799999237060547</v>
      </c>
      <c r="L8" s="8">
        <f t="shared" si="3"/>
        <v>-3.0799999237060547</v>
      </c>
      <c r="M8" s="8">
        <f t="shared" si="4"/>
        <v>0</v>
      </c>
      <c r="N8" s="8">
        <f t="shared" si="5"/>
        <v>0</v>
      </c>
      <c r="P8" s="8">
        <f t="shared" si="6"/>
        <v>-3.0799999237060547</v>
      </c>
      <c r="Q8" s="8">
        <f t="shared" si="8"/>
        <v>-3.0799999237060547</v>
      </c>
      <c r="R8" s="8">
        <f t="shared" si="7"/>
        <v>1241</v>
      </c>
      <c r="S8" s="8">
        <f t="shared" si="9"/>
        <v>1053</v>
      </c>
      <c r="T8" s="8">
        <f t="shared" si="12"/>
        <v>-223.75000190734863</v>
      </c>
      <c r="U8" s="9">
        <f t="shared" si="10"/>
        <v>223.75000190734863</v>
      </c>
      <c r="V8" s="9">
        <f t="shared" si="11"/>
        <v>0</v>
      </c>
      <c r="W8" s="9">
        <f t="shared" si="13"/>
        <v>1681.6500244140625</v>
      </c>
    </row>
    <row r="9" spans="1:31" x14ac:dyDescent="0.2">
      <c r="A9" s="50">
        <v>45793</v>
      </c>
      <c r="B9" s="51" t="s">
        <v>234</v>
      </c>
      <c r="C9" s="45">
        <v>-18.219999313354492</v>
      </c>
      <c r="D9" s="51" t="s">
        <v>226</v>
      </c>
      <c r="E9" s="51" t="s">
        <v>174</v>
      </c>
      <c r="F9" s="51" t="s">
        <v>174</v>
      </c>
      <c r="G9" s="52" t="s">
        <v>104</v>
      </c>
      <c r="H9" s="7"/>
      <c r="I9" s="9">
        <f t="shared" si="0"/>
        <v>0</v>
      </c>
      <c r="J9" s="9">
        <f t="shared" si="1"/>
        <v>-18.219999313354492</v>
      </c>
      <c r="K9" s="9">
        <f t="shared" si="2"/>
        <v>0</v>
      </c>
      <c r="L9" s="8">
        <f t="shared" si="3"/>
        <v>-18.219999313354492</v>
      </c>
      <c r="M9" s="8">
        <f t="shared" si="4"/>
        <v>0</v>
      </c>
      <c r="N9" s="8">
        <f t="shared" si="5"/>
        <v>0</v>
      </c>
      <c r="P9" s="8">
        <f t="shared" si="6"/>
        <v>-18.219999313354492</v>
      </c>
      <c r="Q9" s="8">
        <f t="shared" si="8"/>
        <v>-18.219999313354492</v>
      </c>
      <c r="R9" s="8">
        <f t="shared" si="7"/>
        <v>1241</v>
      </c>
      <c r="S9" s="8">
        <f t="shared" si="9"/>
        <v>1053</v>
      </c>
      <c r="T9" s="8">
        <f t="shared" si="12"/>
        <v>-241.97000122070312</v>
      </c>
      <c r="U9" s="9">
        <f t="shared" si="10"/>
        <v>241.97000122070312</v>
      </c>
      <c r="V9" s="9">
        <f t="shared" si="11"/>
        <v>0</v>
      </c>
      <c r="W9" s="9">
        <f t="shared" si="13"/>
        <v>1681.6500244140625</v>
      </c>
    </row>
    <row r="10" spans="1:31" x14ac:dyDescent="0.2">
      <c r="A10" s="47">
        <v>45796</v>
      </c>
      <c r="B10" s="48" t="s">
        <v>240</v>
      </c>
      <c r="C10" s="44">
        <v>617.6500244140625</v>
      </c>
      <c r="D10" s="48" t="s">
        <v>213</v>
      </c>
      <c r="E10" s="48" t="s">
        <v>174</v>
      </c>
      <c r="F10" s="48" t="s">
        <v>174</v>
      </c>
      <c r="G10" s="49" t="s">
        <v>104</v>
      </c>
      <c r="H10" s="7"/>
      <c r="I10" s="9">
        <f t="shared" si="0"/>
        <v>0</v>
      </c>
      <c r="J10" s="9">
        <f t="shared" si="1"/>
        <v>617.6500244140625</v>
      </c>
      <c r="K10" s="9">
        <f t="shared" si="2"/>
        <v>0</v>
      </c>
      <c r="L10" s="8">
        <f t="shared" si="3"/>
        <v>0</v>
      </c>
      <c r="M10" s="8">
        <f t="shared" si="4"/>
        <v>0</v>
      </c>
      <c r="N10" s="8">
        <f t="shared" si="5"/>
        <v>0</v>
      </c>
      <c r="P10" s="8">
        <f t="shared" si="6"/>
        <v>0</v>
      </c>
      <c r="Q10" s="8">
        <f t="shared" si="8"/>
        <v>0</v>
      </c>
      <c r="R10" s="8">
        <f t="shared" si="7"/>
        <v>1244</v>
      </c>
      <c r="S10" s="8">
        <f t="shared" si="9"/>
        <v>1056</v>
      </c>
      <c r="T10" s="8">
        <f t="shared" si="12"/>
        <v>-241.97000122070312</v>
      </c>
      <c r="U10" s="9">
        <f t="shared" si="10"/>
        <v>241.97000122070312</v>
      </c>
      <c r="V10" s="9">
        <f t="shared" si="11"/>
        <v>617.6500244140625</v>
      </c>
      <c r="W10" s="9">
        <f t="shared" si="13"/>
        <v>2299.300048828125</v>
      </c>
    </row>
    <row r="11" spans="1:31" x14ac:dyDescent="0.2">
      <c r="A11" s="50">
        <v>45797</v>
      </c>
      <c r="B11" s="51" t="s">
        <v>324</v>
      </c>
      <c r="C11" s="45">
        <v>-185</v>
      </c>
      <c r="D11" s="51" t="s">
        <v>221</v>
      </c>
      <c r="E11" s="51" t="s">
        <v>174</v>
      </c>
      <c r="F11" s="51" t="s">
        <v>174</v>
      </c>
      <c r="G11" s="52" t="s">
        <v>104</v>
      </c>
      <c r="H11" s="7"/>
      <c r="I11" s="9">
        <f t="shared" si="0"/>
        <v>0</v>
      </c>
      <c r="J11" s="9">
        <f t="shared" si="1"/>
        <v>-185</v>
      </c>
      <c r="K11" s="9">
        <f t="shared" si="2"/>
        <v>0</v>
      </c>
      <c r="L11" s="8">
        <f t="shared" si="3"/>
        <v>-185</v>
      </c>
      <c r="M11" s="8">
        <f t="shared" si="4"/>
        <v>0</v>
      </c>
      <c r="N11" s="8">
        <f t="shared" si="5"/>
        <v>0</v>
      </c>
      <c r="P11" s="8">
        <f t="shared" si="6"/>
        <v>-185</v>
      </c>
      <c r="Q11" s="8">
        <f t="shared" si="8"/>
        <v>-185</v>
      </c>
      <c r="R11" s="8">
        <f t="shared" si="7"/>
        <v>1245</v>
      </c>
      <c r="S11" s="8">
        <f t="shared" si="9"/>
        <v>1057</v>
      </c>
      <c r="T11" s="8">
        <f t="shared" si="12"/>
        <v>-426.97000122070312</v>
      </c>
      <c r="U11" s="9">
        <f t="shared" si="10"/>
        <v>426.97000122070312</v>
      </c>
      <c r="V11" s="9">
        <f t="shared" si="11"/>
        <v>0</v>
      </c>
      <c r="W11" s="9">
        <f t="shared" si="13"/>
        <v>2299.300048828125</v>
      </c>
    </row>
    <row r="12" spans="1:31" x14ac:dyDescent="0.2">
      <c r="A12" s="47">
        <v>45797</v>
      </c>
      <c r="B12" s="48" t="s">
        <v>325</v>
      </c>
      <c r="C12" s="44">
        <v>-4.9899997711181641</v>
      </c>
      <c r="D12" s="48" t="s">
        <v>211</v>
      </c>
      <c r="E12" s="48" t="s">
        <v>174</v>
      </c>
      <c r="F12" s="48" t="s">
        <v>174</v>
      </c>
      <c r="G12" s="49" t="s">
        <v>105</v>
      </c>
      <c r="H12" s="7"/>
      <c r="I12" s="9">
        <f t="shared" si="0"/>
        <v>0</v>
      </c>
      <c r="J12" s="9">
        <f t="shared" si="1"/>
        <v>0</v>
      </c>
      <c r="K12" s="9">
        <f t="shared" si="2"/>
        <v>-4.9899997711181641</v>
      </c>
      <c r="L12" s="8">
        <f t="shared" si="3"/>
        <v>-4.9899997711181641</v>
      </c>
      <c r="M12" s="8">
        <f t="shared" si="4"/>
        <v>0</v>
      </c>
      <c r="N12" s="8">
        <f t="shared" si="5"/>
        <v>0</v>
      </c>
      <c r="P12" s="8">
        <f t="shared" si="6"/>
        <v>-4.9899997711181641</v>
      </c>
      <c r="Q12" s="8">
        <f t="shared" si="8"/>
        <v>-4.9899997711181641</v>
      </c>
      <c r="R12" s="8">
        <f t="shared" si="7"/>
        <v>1245</v>
      </c>
      <c r="S12" s="8">
        <f t="shared" si="9"/>
        <v>1057</v>
      </c>
      <c r="T12" s="8">
        <f t="shared" si="12"/>
        <v>-431.96000099182129</v>
      </c>
      <c r="U12" s="9">
        <f t="shared" si="10"/>
        <v>431.96000099182129</v>
      </c>
      <c r="V12" s="9">
        <f t="shared" si="11"/>
        <v>0</v>
      </c>
      <c r="W12" s="9">
        <f t="shared" si="13"/>
        <v>2299.300048828125</v>
      </c>
    </row>
    <row r="13" spans="1:31" x14ac:dyDescent="0.2">
      <c r="A13" s="50">
        <v>45798</v>
      </c>
      <c r="B13" s="51" t="s">
        <v>326</v>
      </c>
      <c r="C13" s="45">
        <v>-11.789999961853027</v>
      </c>
      <c r="D13" s="51" t="s">
        <v>235</v>
      </c>
      <c r="E13" s="51" t="s">
        <v>174</v>
      </c>
      <c r="F13" s="51" t="s">
        <v>174</v>
      </c>
      <c r="G13" s="52" t="s">
        <v>104</v>
      </c>
      <c r="H13" s="7"/>
      <c r="I13" s="9">
        <f t="shared" si="0"/>
        <v>0</v>
      </c>
      <c r="J13" s="9">
        <f t="shared" si="1"/>
        <v>-11.789999961853027</v>
      </c>
      <c r="K13" s="9">
        <f t="shared" si="2"/>
        <v>0</v>
      </c>
      <c r="L13" s="8">
        <f t="shared" si="3"/>
        <v>-11.789999961853027</v>
      </c>
      <c r="M13" s="8">
        <f t="shared" si="4"/>
        <v>0</v>
      </c>
      <c r="N13" s="8">
        <f t="shared" si="5"/>
        <v>0</v>
      </c>
      <c r="P13" s="8">
        <f t="shared" si="6"/>
        <v>-11.789999961853027</v>
      </c>
      <c r="Q13" s="8">
        <f t="shared" si="8"/>
        <v>-11.789999961853027</v>
      </c>
      <c r="R13" s="8">
        <f t="shared" si="7"/>
        <v>1246</v>
      </c>
      <c r="S13" s="8">
        <f t="shared" si="9"/>
        <v>1058</v>
      </c>
      <c r="T13" s="8">
        <f t="shared" si="12"/>
        <v>-443.75000095367432</v>
      </c>
      <c r="U13" s="9">
        <f t="shared" si="10"/>
        <v>443.75000095367432</v>
      </c>
      <c r="V13" s="9">
        <f t="shared" si="11"/>
        <v>0</v>
      </c>
      <c r="W13" s="9">
        <f t="shared" si="13"/>
        <v>2299.300048828125</v>
      </c>
    </row>
    <row r="14" spans="1:31" x14ac:dyDescent="0.2">
      <c r="A14" s="47">
        <v>45799</v>
      </c>
      <c r="B14" s="48" t="s">
        <v>116</v>
      </c>
      <c r="C14" s="44">
        <v>-10.989999771118164</v>
      </c>
      <c r="D14" s="48" t="s">
        <v>211</v>
      </c>
      <c r="E14" s="48" t="s">
        <v>174</v>
      </c>
      <c r="F14" s="48" t="s">
        <v>103</v>
      </c>
      <c r="G14" s="49" t="s">
        <v>105</v>
      </c>
      <c r="H14" s="7"/>
      <c r="I14" s="9">
        <f t="shared" si="0"/>
        <v>-10.989999771118164</v>
      </c>
      <c r="J14" s="9">
        <f t="shared" si="1"/>
        <v>0</v>
      </c>
      <c r="K14" s="9">
        <f t="shared" si="2"/>
        <v>-10.989999771118164</v>
      </c>
      <c r="L14" s="8">
        <f t="shared" si="3"/>
        <v>0</v>
      </c>
      <c r="M14" s="8">
        <f t="shared" si="4"/>
        <v>0</v>
      </c>
      <c r="N14" s="8">
        <f t="shared" si="5"/>
        <v>0</v>
      </c>
      <c r="P14" s="8">
        <f t="shared" si="6"/>
        <v>-10.989999771118164</v>
      </c>
      <c r="Q14" s="8">
        <f t="shared" si="8"/>
        <v>-10.989999771118164</v>
      </c>
      <c r="R14" s="8">
        <f t="shared" si="7"/>
        <v>1247</v>
      </c>
      <c r="S14" s="8">
        <f t="shared" si="9"/>
        <v>1059</v>
      </c>
      <c r="T14" s="8">
        <f t="shared" si="12"/>
        <v>-454.74000072479248</v>
      </c>
      <c r="U14" s="9">
        <f t="shared" si="10"/>
        <v>454.74000072479248</v>
      </c>
      <c r="V14" s="9">
        <f t="shared" si="11"/>
        <v>0</v>
      </c>
      <c r="W14" s="9">
        <f t="shared" si="13"/>
        <v>2299.300048828125</v>
      </c>
    </row>
    <row r="15" spans="1:31" x14ac:dyDescent="0.2">
      <c r="A15" s="50">
        <v>45799</v>
      </c>
      <c r="B15" s="51" t="s">
        <v>336</v>
      </c>
      <c r="C15" s="45">
        <v>-101.95999908447266</v>
      </c>
      <c r="D15" s="51" t="s">
        <v>337</v>
      </c>
      <c r="E15" s="51" t="s">
        <v>174</v>
      </c>
      <c r="F15" s="51" t="s">
        <v>174</v>
      </c>
      <c r="G15" s="52" t="s">
        <v>105</v>
      </c>
      <c r="H15" s="7"/>
      <c r="I15" s="9">
        <f t="shared" si="0"/>
        <v>0</v>
      </c>
      <c r="J15" s="9">
        <f t="shared" si="1"/>
        <v>0</v>
      </c>
      <c r="K15" s="9">
        <f t="shared" si="2"/>
        <v>-101.95999908447266</v>
      </c>
      <c r="L15" s="8">
        <f t="shared" si="3"/>
        <v>-101.95999908447266</v>
      </c>
      <c r="M15" s="8">
        <f t="shared" si="4"/>
        <v>0</v>
      </c>
      <c r="N15" s="8">
        <f t="shared" si="5"/>
        <v>0</v>
      </c>
      <c r="P15" s="8">
        <f t="shared" si="6"/>
        <v>-101.95999908447266</v>
      </c>
      <c r="Q15" s="8">
        <f t="shared" si="8"/>
        <v>-101.95999908447266</v>
      </c>
      <c r="R15" s="8">
        <f t="shared" si="7"/>
        <v>1247</v>
      </c>
      <c r="S15" s="8">
        <f t="shared" si="9"/>
        <v>1059</v>
      </c>
      <c r="T15" s="8">
        <f t="shared" si="12"/>
        <v>-556.69999980926514</v>
      </c>
      <c r="U15" s="9">
        <f t="shared" si="10"/>
        <v>556.69999980926514</v>
      </c>
      <c r="V15" s="9">
        <f t="shared" si="11"/>
        <v>0</v>
      </c>
      <c r="W15" s="9">
        <f t="shared" si="13"/>
        <v>2299.300048828125</v>
      </c>
    </row>
    <row r="16" spans="1:31" x14ac:dyDescent="0.2">
      <c r="A16" s="47">
        <v>45799</v>
      </c>
      <c r="B16" s="48" t="s">
        <v>327</v>
      </c>
      <c r="C16" s="44">
        <v>-6.5300002098083496</v>
      </c>
      <c r="D16" s="48" t="s">
        <v>205</v>
      </c>
      <c r="E16" s="48" t="s">
        <v>174</v>
      </c>
      <c r="F16" s="48" t="s">
        <v>174</v>
      </c>
      <c r="G16" s="49" t="s">
        <v>104</v>
      </c>
      <c r="H16" s="7"/>
      <c r="I16" s="9">
        <f t="shared" si="0"/>
        <v>0</v>
      </c>
      <c r="J16" s="9">
        <f t="shared" si="1"/>
        <v>-6.5300002098083496</v>
      </c>
      <c r="K16" s="9">
        <f t="shared" si="2"/>
        <v>0</v>
      </c>
      <c r="L16" s="8">
        <f t="shared" si="3"/>
        <v>-6.5300002098083496</v>
      </c>
      <c r="M16" s="8">
        <f t="shared" si="4"/>
        <v>0</v>
      </c>
      <c r="N16" s="8">
        <f t="shared" si="5"/>
        <v>0</v>
      </c>
      <c r="P16" s="8">
        <f t="shared" si="6"/>
        <v>-6.5300002098083496</v>
      </c>
      <c r="Q16" s="8">
        <f t="shared" si="8"/>
        <v>-6.5300002098083496</v>
      </c>
      <c r="R16" s="8">
        <f t="shared" si="7"/>
        <v>1247</v>
      </c>
      <c r="S16" s="8">
        <f t="shared" si="9"/>
        <v>1059</v>
      </c>
      <c r="T16" s="8">
        <f t="shared" si="12"/>
        <v>-563.23000001907349</v>
      </c>
      <c r="U16" s="9">
        <f t="shared" si="10"/>
        <v>563.23000001907349</v>
      </c>
      <c r="V16" s="9">
        <f t="shared" si="11"/>
        <v>0</v>
      </c>
      <c r="W16" s="9">
        <f t="shared" si="13"/>
        <v>2299.300048828125</v>
      </c>
    </row>
    <row r="17" spans="1:23" x14ac:dyDescent="0.2">
      <c r="A17" s="50">
        <v>45799</v>
      </c>
      <c r="B17" s="51" t="s">
        <v>273</v>
      </c>
      <c r="C17" s="45">
        <v>-40</v>
      </c>
      <c r="D17" s="51" t="s">
        <v>235</v>
      </c>
      <c r="E17" s="51" t="s">
        <v>174</v>
      </c>
      <c r="F17" s="51" t="s">
        <v>174</v>
      </c>
      <c r="G17" s="52" t="s">
        <v>104</v>
      </c>
      <c r="H17" s="7"/>
      <c r="I17" s="9">
        <f t="shared" si="0"/>
        <v>0</v>
      </c>
      <c r="J17" s="9">
        <f t="shared" si="1"/>
        <v>-40</v>
      </c>
      <c r="K17" s="9">
        <f t="shared" si="2"/>
        <v>0</v>
      </c>
      <c r="L17" s="8">
        <f t="shared" si="3"/>
        <v>-40</v>
      </c>
      <c r="M17" s="8">
        <f t="shared" si="4"/>
        <v>0</v>
      </c>
      <c r="N17" s="8">
        <f t="shared" si="5"/>
        <v>0</v>
      </c>
      <c r="P17" s="8">
        <f t="shared" si="6"/>
        <v>-40</v>
      </c>
      <c r="Q17" s="8">
        <f t="shared" si="8"/>
        <v>-40</v>
      </c>
      <c r="R17" s="8">
        <f t="shared" si="7"/>
        <v>1247</v>
      </c>
      <c r="S17" s="8">
        <f t="shared" si="9"/>
        <v>1059</v>
      </c>
      <c r="T17" s="8">
        <f t="shared" si="12"/>
        <v>-603.23000001907349</v>
      </c>
      <c r="U17" s="9">
        <f t="shared" si="10"/>
        <v>603.23000001907349</v>
      </c>
      <c r="V17" s="9">
        <f t="shared" si="11"/>
        <v>0</v>
      </c>
      <c r="W17" s="9">
        <f t="shared" si="13"/>
        <v>2299.300048828125</v>
      </c>
    </row>
    <row r="18" spans="1:23" x14ac:dyDescent="0.2">
      <c r="A18" s="47">
        <v>45800</v>
      </c>
      <c r="B18" s="48" t="s">
        <v>138</v>
      </c>
      <c r="C18" s="44">
        <v>-84.510002136230469</v>
      </c>
      <c r="D18" s="48" t="s">
        <v>206</v>
      </c>
      <c r="E18" s="48" t="s">
        <v>174</v>
      </c>
      <c r="F18" s="48" t="s">
        <v>174</v>
      </c>
      <c r="G18" s="49" t="s">
        <v>104</v>
      </c>
      <c r="H18" s="7"/>
      <c r="I18" s="9">
        <f t="shared" si="0"/>
        <v>0</v>
      </c>
      <c r="J18" s="9">
        <f t="shared" si="1"/>
        <v>-84.510002136230469</v>
      </c>
      <c r="K18" s="9">
        <f t="shared" si="2"/>
        <v>0</v>
      </c>
      <c r="L18" s="8">
        <f t="shared" si="3"/>
        <v>-84.510002136230469</v>
      </c>
      <c r="M18" s="8">
        <f t="shared" si="4"/>
        <v>0</v>
      </c>
      <c r="N18" s="8">
        <f t="shared" si="5"/>
        <v>0</v>
      </c>
      <c r="P18" s="8">
        <f t="shared" si="6"/>
        <v>-84.510002136230469</v>
      </c>
      <c r="Q18" s="8">
        <f t="shared" si="8"/>
        <v>-84.510002136230469</v>
      </c>
      <c r="R18" s="8">
        <f t="shared" si="7"/>
        <v>1248</v>
      </c>
      <c r="S18" s="8">
        <f t="shared" si="9"/>
        <v>1060</v>
      </c>
      <c r="T18" s="8">
        <f t="shared" si="12"/>
        <v>-687.74000215530396</v>
      </c>
      <c r="U18" s="9">
        <f t="shared" si="10"/>
        <v>687.74000215530396</v>
      </c>
      <c r="V18" s="9">
        <f t="shared" si="11"/>
        <v>0</v>
      </c>
      <c r="W18" s="9">
        <f t="shared" si="13"/>
        <v>2299.300048828125</v>
      </c>
    </row>
    <row r="19" spans="1:23" x14ac:dyDescent="0.2">
      <c r="A19" s="50">
        <v>45800</v>
      </c>
      <c r="B19" s="51" t="s">
        <v>138</v>
      </c>
      <c r="C19" s="45">
        <v>-3.8900001049041748</v>
      </c>
      <c r="D19" s="51" t="s">
        <v>206</v>
      </c>
      <c r="E19" s="51" t="s">
        <v>174</v>
      </c>
      <c r="F19" s="51" t="s">
        <v>174</v>
      </c>
      <c r="G19" s="52" t="s">
        <v>104</v>
      </c>
      <c r="H19" s="7"/>
      <c r="I19" s="9">
        <f t="shared" si="0"/>
        <v>0</v>
      </c>
      <c r="J19" s="9">
        <f t="shared" si="1"/>
        <v>-3.8900001049041748</v>
      </c>
      <c r="K19" s="9">
        <f t="shared" si="2"/>
        <v>0</v>
      </c>
      <c r="L19" s="8">
        <f t="shared" si="3"/>
        <v>-3.8900001049041748</v>
      </c>
      <c r="M19" s="8">
        <f t="shared" si="4"/>
        <v>0</v>
      </c>
      <c r="N19" s="8">
        <f t="shared" si="5"/>
        <v>0</v>
      </c>
      <c r="P19" s="8">
        <f t="shared" si="6"/>
        <v>-3.8900001049041748</v>
      </c>
      <c r="Q19" s="8">
        <f t="shared" si="8"/>
        <v>-3.8900001049041748</v>
      </c>
      <c r="R19" s="8">
        <f t="shared" si="7"/>
        <v>1248</v>
      </c>
      <c r="S19" s="8">
        <f t="shared" si="9"/>
        <v>1060</v>
      </c>
      <c r="T19" s="8">
        <f t="shared" si="12"/>
        <v>-691.63000226020813</v>
      </c>
      <c r="U19" s="9">
        <f t="shared" si="10"/>
        <v>691.63000226020813</v>
      </c>
      <c r="V19" s="9">
        <f t="shared" si="11"/>
        <v>0</v>
      </c>
      <c r="W19" s="9">
        <f t="shared" si="13"/>
        <v>2299.300048828125</v>
      </c>
    </row>
    <row r="20" spans="1:23" x14ac:dyDescent="0.2">
      <c r="A20" s="47">
        <v>45800</v>
      </c>
      <c r="B20" s="48" t="s">
        <v>338</v>
      </c>
      <c r="C20" s="44">
        <v>-10.829999923706055</v>
      </c>
      <c r="D20" s="48" t="s">
        <v>216</v>
      </c>
      <c r="E20" s="48" t="s">
        <v>174</v>
      </c>
      <c r="F20" s="48" t="s">
        <v>174</v>
      </c>
      <c r="G20" s="49" t="s">
        <v>104</v>
      </c>
      <c r="H20" s="7"/>
      <c r="I20" s="9">
        <f t="shared" si="0"/>
        <v>0</v>
      </c>
      <c r="J20" s="9">
        <f t="shared" si="1"/>
        <v>-10.829999923706055</v>
      </c>
      <c r="K20" s="9">
        <f t="shared" si="2"/>
        <v>0</v>
      </c>
      <c r="L20" s="8">
        <f t="shared" si="3"/>
        <v>-10.829999923706055</v>
      </c>
      <c r="M20" s="8">
        <f t="shared" si="4"/>
        <v>0</v>
      </c>
      <c r="N20" s="8">
        <f t="shared" si="5"/>
        <v>0</v>
      </c>
      <c r="P20" s="8">
        <f t="shared" si="6"/>
        <v>-10.829999923706055</v>
      </c>
      <c r="Q20" s="8">
        <f t="shared" si="8"/>
        <v>-10.829999923706055</v>
      </c>
      <c r="R20" s="8">
        <f t="shared" si="7"/>
        <v>1248</v>
      </c>
      <c r="S20" s="8">
        <f t="shared" si="9"/>
        <v>1060</v>
      </c>
      <c r="T20" s="8">
        <f t="shared" si="12"/>
        <v>-702.46000218391418</v>
      </c>
      <c r="U20" s="9">
        <f t="shared" si="10"/>
        <v>702.46000218391418</v>
      </c>
      <c r="V20" s="9">
        <f t="shared" si="11"/>
        <v>0</v>
      </c>
      <c r="W20" s="9">
        <f t="shared" si="13"/>
        <v>2299.300048828125</v>
      </c>
    </row>
    <row r="21" spans="1:23" x14ac:dyDescent="0.2">
      <c r="A21" s="50">
        <v>45801</v>
      </c>
      <c r="B21" s="51" t="s">
        <v>323</v>
      </c>
      <c r="C21" s="45">
        <v>-0.72000002861022949</v>
      </c>
      <c r="D21" s="51" t="s">
        <v>235</v>
      </c>
      <c r="E21" s="51" t="s">
        <v>174</v>
      </c>
      <c r="F21" s="51" t="s">
        <v>174</v>
      </c>
      <c r="G21" s="52" t="s">
        <v>105</v>
      </c>
      <c r="H21" s="7"/>
      <c r="I21" s="9">
        <f t="shared" si="0"/>
        <v>0</v>
      </c>
      <c r="J21" s="9">
        <f t="shared" si="1"/>
        <v>0</v>
      </c>
      <c r="K21" s="9">
        <f t="shared" si="2"/>
        <v>-0.72000002861022949</v>
      </c>
      <c r="L21" s="8">
        <f t="shared" si="3"/>
        <v>-0.72000002861022949</v>
      </c>
      <c r="M21" s="8">
        <f t="shared" si="4"/>
        <v>0</v>
      </c>
      <c r="N21" s="8">
        <f t="shared" si="5"/>
        <v>0</v>
      </c>
      <c r="P21" s="8">
        <f t="shared" si="6"/>
        <v>-0.72000002861022949</v>
      </c>
      <c r="Q21" s="8">
        <f t="shared" si="8"/>
        <v>-0.72000002861022949</v>
      </c>
      <c r="R21" s="8">
        <f t="shared" si="7"/>
        <v>1249</v>
      </c>
      <c r="S21" s="8">
        <f t="shared" si="9"/>
        <v>1061</v>
      </c>
      <c r="T21" s="8">
        <f t="shared" si="12"/>
        <v>-703.18000221252441</v>
      </c>
      <c r="U21" s="9">
        <f t="shared" si="10"/>
        <v>703.18000221252441</v>
      </c>
      <c r="V21" s="9">
        <f t="shared" si="11"/>
        <v>0</v>
      </c>
      <c r="W21" s="9">
        <f t="shared" si="13"/>
        <v>2299.300048828125</v>
      </c>
    </row>
    <row r="22" spans="1:23" x14ac:dyDescent="0.2">
      <c r="A22" s="47">
        <v>45803</v>
      </c>
      <c r="B22" s="48" t="s">
        <v>360</v>
      </c>
      <c r="C22" s="44">
        <v>-81.980003356933594</v>
      </c>
      <c r="D22" s="48" t="s">
        <v>205</v>
      </c>
      <c r="E22" s="48" t="s">
        <v>174</v>
      </c>
      <c r="F22" s="48" t="s">
        <v>174</v>
      </c>
      <c r="G22" s="49" t="s">
        <v>105</v>
      </c>
      <c r="H22" s="7"/>
      <c r="I22" s="9">
        <f t="shared" si="0"/>
        <v>0</v>
      </c>
      <c r="J22" s="9">
        <f t="shared" si="1"/>
        <v>0</v>
      </c>
      <c r="K22" s="9">
        <f t="shared" si="2"/>
        <v>-81.980003356933594</v>
      </c>
      <c r="L22" s="8">
        <f t="shared" si="3"/>
        <v>-81.980003356933594</v>
      </c>
      <c r="M22" s="8">
        <f t="shared" si="4"/>
        <v>0</v>
      </c>
      <c r="N22" s="8">
        <f t="shared" si="5"/>
        <v>0</v>
      </c>
      <c r="P22" s="8">
        <f t="shared" si="6"/>
        <v>-81.980003356933594</v>
      </c>
      <c r="Q22" s="8">
        <f t="shared" si="8"/>
        <v>-81.980003356933594</v>
      </c>
      <c r="R22" s="8">
        <f t="shared" si="7"/>
        <v>1251</v>
      </c>
      <c r="S22" s="8">
        <f t="shared" si="9"/>
        <v>1063</v>
      </c>
      <c r="T22" s="8">
        <f t="shared" si="12"/>
        <v>-785.16000556945801</v>
      </c>
      <c r="U22" s="9">
        <f t="shared" si="10"/>
        <v>785.16000556945801</v>
      </c>
      <c r="V22" s="9">
        <f t="shared" si="11"/>
        <v>0</v>
      </c>
      <c r="W22" s="9">
        <f t="shared" si="13"/>
        <v>2299.300048828125</v>
      </c>
    </row>
    <row r="23" spans="1:23" x14ac:dyDescent="0.2">
      <c r="A23" s="50">
        <v>45804</v>
      </c>
      <c r="B23" s="51" t="s">
        <v>240</v>
      </c>
      <c r="C23" s="45">
        <v>720.6099853515625</v>
      </c>
      <c r="D23" s="51" t="s">
        <v>213</v>
      </c>
      <c r="E23" s="51" t="s">
        <v>174</v>
      </c>
      <c r="F23" s="51" t="s">
        <v>174</v>
      </c>
      <c r="G23" s="52" t="s">
        <v>104</v>
      </c>
      <c r="H23" s="7"/>
      <c r="I23" s="9">
        <f t="shared" si="0"/>
        <v>0</v>
      </c>
      <c r="J23" s="9">
        <f t="shared" si="1"/>
        <v>720.6099853515625</v>
      </c>
      <c r="K23" s="9">
        <f t="shared" si="2"/>
        <v>0</v>
      </c>
      <c r="L23" s="8">
        <f t="shared" si="3"/>
        <v>0</v>
      </c>
      <c r="M23" s="8">
        <f t="shared" si="4"/>
        <v>0</v>
      </c>
      <c r="N23" s="8">
        <f t="shared" si="5"/>
        <v>0</v>
      </c>
      <c r="P23" s="8">
        <f t="shared" si="6"/>
        <v>0</v>
      </c>
      <c r="Q23" s="8">
        <f t="shared" si="8"/>
        <v>0</v>
      </c>
      <c r="R23" s="8">
        <f t="shared" si="7"/>
        <v>1252</v>
      </c>
      <c r="S23" s="8">
        <f t="shared" si="9"/>
        <v>1064</v>
      </c>
      <c r="T23" s="8">
        <f t="shared" si="12"/>
        <v>-785.16000556945801</v>
      </c>
      <c r="U23" s="9">
        <f t="shared" si="10"/>
        <v>785.16000556945801</v>
      </c>
      <c r="V23" s="9">
        <f t="shared" si="11"/>
        <v>720.6099853515625</v>
      </c>
      <c r="W23" s="9">
        <f t="shared" si="13"/>
        <v>3019.9100341796875</v>
      </c>
    </row>
    <row r="24" spans="1:23" x14ac:dyDescent="0.2">
      <c r="A24" s="47">
        <v>45804</v>
      </c>
      <c r="B24" s="48" t="s">
        <v>116</v>
      </c>
      <c r="C24" s="44">
        <v>-2.9900000095367432</v>
      </c>
      <c r="D24" s="48" t="s">
        <v>211</v>
      </c>
      <c r="E24" s="48" t="s">
        <v>174</v>
      </c>
      <c r="F24" s="48" t="s">
        <v>103</v>
      </c>
      <c r="G24" s="49" t="s">
        <v>105</v>
      </c>
      <c r="H24" s="7"/>
      <c r="I24" s="9">
        <f t="shared" si="0"/>
        <v>-2.9900000095367432</v>
      </c>
      <c r="J24" s="9">
        <f t="shared" si="1"/>
        <v>0</v>
      </c>
      <c r="K24" s="9">
        <f t="shared" si="2"/>
        <v>-2.9900000095367432</v>
      </c>
      <c r="L24" s="8">
        <f t="shared" si="3"/>
        <v>0</v>
      </c>
      <c r="M24" s="8">
        <f t="shared" si="4"/>
        <v>0</v>
      </c>
      <c r="N24" s="8">
        <f t="shared" si="5"/>
        <v>0</v>
      </c>
      <c r="P24" s="8">
        <f t="shared" si="6"/>
        <v>-2.9900000095367432</v>
      </c>
      <c r="Q24" s="8">
        <f t="shared" si="8"/>
        <v>-2.9900000095367432</v>
      </c>
      <c r="R24" s="8">
        <f t="shared" si="7"/>
        <v>1252</v>
      </c>
      <c r="S24" s="8">
        <f t="shared" si="9"/>
        <v>1064</v>
      </c>
      <c r="T24" s="8">
        <f t="shared" si="12"/>
        <v>-788.15000557899475</v>
      </c>
      <c r="U24" s="9">
        <f t="shared" si="10"/>
        <v>788.15000557899475</v>
      </c>
      <c r="V24" s="9">
        <f t="shared" si="11"/>
        <v>0</v>
      </c>
      <c r="W24" s="9">
        <f t="shared" si="13"/>
        <v>3019.9100341796875</v>
      </c>
    </row>
    <row r="25" spans="1:23" x14ac:dyDescent="0.2">
      <c r="A25" s="50">
        <v>45804</v>
      </c>
      <c r="B25" s="51" t="s">
        <v>138</v>
      </c>
      <c r="C25" s="45">
        <v>-37.509998321533203</v>
      </c>
      <c r="D25" s="51" t="s">
        <v>206</v>
      </c>
      <c r="E25" s="51" t="s">
        <v>174</v>
      </c>
      <c r="F25" s="51" t="s">
        <v>174</v>
      </c>
      <c r="G25" s="52" t="s">
        <v>104</v>
      </c>
      <c r="H25" s="7"/>
      <c r="I25" s="9">
        <f t="shared" si="0"/>
        <v>0</v>
      </c>
      <c r="J25" s="9">
        <f t="shared" si="1"/>
        <v>-37.509998321533203</v>
      </c>
      <c r="K25" s="9">
        <f t="shared" si="2"/>
        <v>0</v>
      </c>
      <c r="L25" s="8">
        <f t="shared" si="3"/>
        <v>-37.509998321533203</v>
      </c>
      <c r="M25" s="8">
        <f t="shared" si="4"/>
        <v>0</v>
      </c>
      <c r="N25" s="8">
        <f t="shared" si="5"/>
        <v>0</v>
      </c>
      <c r="P25" s="8">
        <f t="shared" si="6"/>
        <v>-37.509998321533203</v>
      </c>
      <c r="Q25" s="8">
        <f t="shared" si="8"/>
        <v>-37.509998321533203</v>
      </c>
      <c r="R25" s="8">
        <f t="shared" si="7"/>
        <v>1252</v>
      </c>
      <c r="S25" s="8">
        <f t="shared" si="9"/>
        <v>1064</v>
      </c>
      <c r="T25" s="8">
        <f t="shared" si="12"/>
        <v>-825.66000390052795</v>
      </c>
      <c r="U25" s="9">
        <f t="shared" si="10"/>
        <v>825.66000390052795</v>
      </c>
      <c r="V25" s="9">
        <f t="shared" si="11"/>
        <v>0</v>
      </c>
      <c r="W25" s="9">
        <f t="shared" si="13"/>
        <v>3019.9100341796875</v>
      </c>
    </row>
    <row r="26" spans="1:23" x14ac:dyDescent="0.2">
      <c r="A26" s="47">
        <v>45804</v>
      </c>
      <c r="B26" s="48" t="s">
        <v>138</v>
      </c>
      <c r="C26" s="44">
        <v>-26.899999618530273</v>
      </c>
      <c r="D26" s="48" t="s">
        <v>206</v>
      </c>
      <c r="E26" s="48" t="s">
        <v>174</v>
      </c>
      <c r="F26" s="48" t="s">
        <v>174</v>
      </c>
      <c r="G26" s="49" t="s">
        <v>104</v>
      </c>
      <c r="H26" s="7"/>
      <c r="I26" s="9">
        <f t="shared" si="0"/>
        <v>0</v>
      </c>
      <c r="J26" s="9">
        <f t="shared" si="1"/>
        <v>-26.899999618530273</v>
      </c>
      <c r="K26" s="9">
        <f t="shared" si="2"/>
        <v>0</v>
      </c>
      <c r="L26" s="8">
        <f t="shared" si="3"/>
        <v>-26.899999618530273</v>
      </c>
      <c r="M26" s="8">
        <f t="shared" si="4"/>
        <v>0</v>
      </c>
      <c r="N26" s="8">
        <f t="shared" si="5"/>
        <v>0</v>
      </c>
      <c r="P26" s="8">
        <f t="shared" si="6"/>
        <v>-26.899999618530273</v>
      </c>
      <c r="Q26" s="8">
        <f t="shared" si="8"/>
        <v>-26.899999618530273</v>
      </c>
      <c r="R26" s="8">
        <f t="shared" si="7"/>
        <v>1252</v>
      </c>
      <c r="S26" s="8">
        <f t="shared" si="9"/>
        <v>1064</v>
      </c>
      <c r="T26" s="8">
        <f t="shared" si="12"/>
        <v>-852.56000351905823</v>
      </c>
      <c r="U26" s="9">
        <f t="shared" si="10"/>
        <v>852.56000351905823</v>
      </c>
      <c r="V26" s="9">
        <f t="shared" si="11"/>
        <v>0</v>
      </c>
      <c r="W26" s="9">
        <f t="shared" si="13"/>
        <v>3019.9100341796875</v>
      </c>
    </row>
    <row r="27" spans="1:23" x14ac:dyDescent="0.2">
      <c r="A27" s="50">
        <v>45804</v>
      </c>
      <c r="B27" s="51" t="s">
        <v>138</v>
      </c>
      <c r="C27" s="45">
        <v>-11.270000457763672</v>
      </c>
      <c r="D27" s="51" t="s">
        <v>206</v>
      </c>
      <c r="E27" s="51" t="s">
        <v>174</v>
      </c>
      <c r="F27" s="51" t="s">
        <v>174</v>
      </c>
      <c r="G27" s="52" t="s">
        <v>104</v>
      </c>
      <c r="H27" s="7"/>
      <c r="I27" s="9">
        <f t="shared" si="0"/>
        <v>0</v>
      </c>
      <c r="J27" s="9">
        <f t="shared" si="1"/>
        <v>-11.270000457763672</v>
      </c>
      <c r="K27" s="9">
        <f t="shared" si="2"/>
        <v>0</v>
      </c>
      <c r="L27" s="8">
        <f t="shared" si="3"/>
        <v>-11.270000457763672</v>
      </c>
      <c r="M27" s="8">
        <f t="shared" si="4"/>
        <v>0</v>
      </c>
      <c r="N27" s="8">
        <f t="shared" si="5"/>
        <v>0</v>
      </c>
      <c r="P27" s="8">
        <f t="shared" si="6"/>
        <v>-11.270000457763672</v>
      </c>
      <c r="Q27" s="8">
        <f t="shared" si="8"/>
        <v>-11.270000457763672</v>
      </c>
      <c r="R27" s="8">
        <f t="shared" si="7"/>
        <v>1252</v>
      </c>
      <c r="S27" s="8">
        <f t="shared" si="9"/>
        <v>1064</v>
      </c>
      <c r="T27" s="8">
        <f t="shared" si="12"/>
        <v>-863.8300039768219</v>
      </c>
      <c r="U27" s="9">
        <f t="shared" si="10"/>
        <v>863.8300039768219</v>
      </c>
      <c r="V27" s="9">
        <f t="shared" si="11"/>
        <v>0</v>
      </c>
      <c r="W27" s="9">
        <f t="shared" si="13"/>
        <v>3019.9100341796875</v>
      </c>
    </row>
    <row r="28" spans="1:23" x14ac:dyDescent="0.2">
      <c r="A28" s="47">
        <v>45804</v>
      </c>
      <c r="B28" s="48" t="s">
        <v>138</v>
      </c>
      <c r="C28" s="44">
        <v>-7.8899998664855957</v>
      </c>
      <c r="D28" s="48" t="s">
        <v>206</v>
      </c>
      <c r="E28" s="48" t="s">
        <v>174</v>
      </c>
      <c r="F28" s="48" t="s">
        <v>174</v>
      </c>
      <c r="G28" s="49" t="s">
        <v>104</v>
      </c>
      <c r="H28" s="7"/>
      <c r="I28" s="9">
        <f t="shared" si="0"/>
        <v>0</v>
      </c>
      <c r="J28" s="9">
        <f t="shared" si="1"/>
        <v>-7.8899998664855957</v>
      </c>
      <c r="K28" s="9">
        <f t="shared" si="2"/>
        <v>0</v>
      </c>
      <c r="L28" s="8">
        <f t="shared" si="3"/>
        <v>-7.8899998664855957</v>
      </c>
      <c r="M28" s="8">
        <f t="shared" si="4"/>
        <v>0</v>
      </c>
      <c r="N28" s="8">
        <f t="shared" si="5"/>
        <v>0</v>
      </c>
      <c r="P28" s="8">
        <f t="shared" si="6"/>
        <v>-7.8899998664855957</v>
      </c>
      <c r="Q28" s="8">
        <f t="shared" si="8"/>
        <v>-7.8899998664855957</v>
      </c>
      <c r="R28" s="8">
        <f t="shared" si="7"/>
        <v>1252</v>
      </c>
      <c r="S28" s="8">
        <f t="shared" si="9"/>
        <v>1064</v>
      </c>
      <c r="T28" s="8">
        <f t="shared" si="12"/>
        <v>-871.7200038433075</v>
      </c>
      <c r="U28" s="9">
        <f t="shared" si="10"/>
        <v>871.7200038433075</v>
      </c>
      <c r="V28" s="9">
        <f t="shared" si="11"/>
        <v>0</v>
      </c>
      <c r="W28" s="9">
        <f t="shared" si="13"/>
        <v>3019.9100341796875</v>
      </c>
    </row>
    <row r="29" spans="1:23" x14ac:dyDescent="0.2">
      <c r="A29" s="50">
        <v>45804</v>
      </c>
      <c r="B29" s="51" t="s">
        <v>129</v>
      </c>
      <c r="C29" s="45">
        <v>-10</v>
      </c>
      <c r="D29" s="51" t="s">
        <v>229</v>
      </c>
      <c r="E29" s="51" t="s">
        <v>174</v>
      </c>
      <c r="F29" s="51" t="s">
        <v>174</v>
      </c>
      <c r="G29" s="52" t="s">
        <v>105</v>
      </c>
      <c r="H29" s="7"/>
      <c r="I29" s="9">
        <f t="shared" si="0"/>
        <v>0</v>
      </c>
      <c r="J29" s="9">
        <f t="shared" si="1"/>
        <v>0</v>
      </c>
      <c r="K29" s="9">
        <f t="shared" si="2"/>
        <v>-10</v>
      </c>
      <c r="L29" s="8">
        <f t="shared" si="3"/>
        <v>-10</v>
      </c>
      <c r="M29" s="8">
        <f t="shared" si="4"/>
        <v>0</v>
      </c>
      <c r="N29" s="8">
        <f t="shared" si="5"/>
        <v>0</v>
      </c>
      <c r="P29" s="8">
        <f t="shared" si="6"/>
        <v>-10</v>
      </c>
      <c r="Q29" s="8">
        <f t="shared" si="8"/>
        <v>-10</v>
      </c>
      <c r="R29" s="8">
        <f t="shared" si="7"/>
        <v>1252</v>
      </c>
      <c r="S29" s="8">
        <f t="shared" si="9"/>
        <v>1064</v>
      </c>
      <c r="T29" s="8">
        <f t="shared" si="12"/>
        <v>-881.7200038433075</v>
      </c>
      <c r="U29" s="9">
        <f t="shared" si="10"/>
        <v>881.7200038433075</v>
      </c>
      <c r="V29" s="9">
        <f t="shared" si="11"/>
        <v>0</v>
      </c>
      <c r="W29" s="9">
        <f t="shared" si="13"/>
        <v>3019.9100341796875</v>
      </c>
    </row>
    <row r="30" spans="1:23" x14ac:dyDescent="0.2">
      <c r="A30" s="47">
        <v>45804</v>
      </c>
      <c r="B30" s="48" t="s">
        <v>129</v>
      </c>
      <c r="C30" s="44">
        <v>10</v>
      </c>
      <c r="D30" s="48" t="s">
        <v>229</v>
      </c>
      <c r="E30" s="48" t="s">
        <v>174</v>
      </c>
      <c r="F30" s="48" t="s">
        <v>174</v>
      </c>
      <c r="G30" s="49" t="s">
        <v>105</v>
      </c>
      <c r="H30" s="7"/>
      <c r="I30" s="9">
        <f t="shared" si="0"/>
        <v>0</v>
      </c>
      <c r="J30" s="9">
        <f t="shared" si="1"/>
        <v>0</v>
      </c>
      <c r="K30" s="9">
        <f t="shared" si="2"/>
        <v>0</v>
      </c>
      <c r="L30" s="8">
        <f t="shared" si="3"/>
        <v>0</v>
      </c>
      <c r="M30" s="8">
        <f t="shared" si="4"/>
        <v>0</v>
      </c>
      <c r="N30" s="8">
        <f t="shared" si="5"/>
        <v>0</v>
      </c>
      <c r="P30" s="8">
        <f t="shared" si="6"/>
        <v>0</v>
      </c>
      <c r="Q30" s="8">
        <f t="shared" si="8"/>
        <v>0</v>
      </c>
      <c r="R30" s="8">
        <f t="shared" si="7"/>
        <v>1252</v>
      </c>
      <c r="S30" s="8">
        <f t="shared" si="9"/>
        <v>1064</v>
      </c>
      <c r="T30" s="8">
        <f t="shared" si="12"/>
        <v>-881.7200038433075</v>
      </c>
      <c r="U30" s="9">
        <f t="shared" si="10"/>
        <v>881.7200038433075</v>
      </c>
      <c r="V30" s="9">
        <f t="shared" si="11"/>
        <v>10</v>
      </c>
      <c r="W30" s="9">
        <f t="shared" si="13"/>
        <v>3029.9100341796875</v>
      </c>
    </row>
    <row r="31" spans="1:23" x14ac:dyDescent="0.2">
      <c r="A31" s="50">
        <v>45804</v>
      </c>
      <c r="B31" s="51" t="s">
        <v>323</v>
      </c>
      <c r="C31" s="45">
        <v>-40</v>
      </c>
      <c r="D31" s="51" t="s">
        <v>235</v>
      </c>
      <c r="E31" s="51" t="s">
        <v>174</v>
      </c>
      <c r="F31" s="51" t="s">
        <v>174</v>
      </c>
      <c r="G31" s="52" t="s">
        <v>105</v>
      </c>
      <c r="H31" s="7"/>
      <c r="I31" s="9">
        <f t="shared" si="0"/>
        <v>0</v>
      </c>
      <c r="J31" s="9">
        <f t="shared" si="1"/>
        <v>0</v>
      </c>
      <c r="K31" s="9">
        <f t="shared" si="2"/>
        <v>-40</v>
      </c>
      <c r="L31" s="8">
        <f t="shared" si="3"/>
        <v>-40</v>
      </c>
      <c r="M31" s="8">
        <f t="shared" si="4"/>
        <v>0</v>
      </c>
      <c r="N31" s="8">
        <f t="shared" si="5"/>
        <v>0</v>
      </c>
      <c r="P31" s="8">
        <f t="shared" si="6"/>
        <v>-40</v>
      </c>
      <c r="Q31" s="8">
        <f t="shared" si="8"/>
        <v>-40</v>
      </c>
      <c r="R31" s="8">
        <f t="shared" si="7"/>
        <v>1252</v>
      </c>
      <c r="S31" s="8">
        <f t="shared" si="9"/>
        <v>1064</v>
      </c>
      <c r="T31" s="8">
        <f t="shared" si="12"/>
        <v>-921.7200038433075</v>
      </c>
      <c r="U31" s="9">
        <f t="shared" si="10"/>
        <v>921.7200038433075</v>
      </c>
      <c r="V31" s="9">
        <f t="shared" si="11"/>
        <v>0</v>
      </c>
      <c r="W31" s="9">
        <f t="shared" si="13"/>
        <v>3029.9100341796875</v>
      </c>
    </row>
    <row r="32" spans="1:23" x14ac:dyDescent="0.2">
      <c r="A32" s="47">
        <v>45804</v>
      </c>
      <c r="B32" s="48" t="s">
        <v>361</v>
      </c>
      <c r="C32" s="44">
        <v>-22.090000152587891</v>
      </c>
      <c r="D32" s="48" t="s">
        <v>206</v>
      </c>
      <c r="E32" s="48" t="s">
        <v>174</v>
      </c>
      <c r="F32" s="48" t="s">
        <v>174</v>
      </c>
      <c r="G32" s="49" t="s">
        <v>104</v>
      </c>
      <c r="H32" s="7"/>
      <c r="I32" s="9">
        <f t="shared" si="0"/>
        <v>0</v>
      </c>
      <c r="J32" s="9">
        <f t="shared" si="1"/>
        <v>-22.090000152587891</v>
      </c>
      <c r="K32" s="9">
        <f t="shared" si="2"/>
        <v>0</v>
      </c>
      <c r="L32" s="8">
        <f t="shared" si="3"/>
        <v>-22.090000152587891</v>
      </c>
      <c r="M32" s="8">
        <f t="shared" si="4"/>
        <v>0</v>
      </c>
      <c r="N32" s="8">
        <f t="shared" si="5"/>
        <v>0</v>
      </c>
      <c r="P32" s="8">
        <f t="shared" si="6"/>
        <v>-22.090000152587891</v>
      </c>
      <c r="Q32" s="8">
        <f t="shared" si="8"/>
        <v>-22.090000152587891</v>
      </c>
      <c r="R32" s="8">
        <f t="shared" si="7"/>
        <v>1252</v>
      </c>
      <c r="S32" s="8">
        <f t="shared" si="9"/>
        <v>1064</v>
      </c>
      <c r="T32" s="8">
        <f t="shared" si="12"/>
        <v>-943.81000399589539</v>
      </c>
      <c r="U32" s="9">
        <f t="shared" si="10"/>
        <v>943.81000399589539</v>
      </c>
      <c r="V32" s="9">
        <f t="shared" si="11"/>
        <v>0</v>
      </c>
      <c r="W32" s="9">
        <f t="shared" si="13"/>
        <v>3029.9100341796875</v>
      </c>
    </row>
    <row r="33" spans="1:34" x14ac:dyDescent="0.2">
      <c r="A33" s="50">
        <v>45804</v>
      </c>
      <c r="B33" s="51" t="s">
        <v>362</v>
      </c>
      <c r="C33" s="45">
        <v>-5.9200000762939453</v>
      </c>
      <c r="D33" s="51" t="s">
        <v>226</v>
      </c>
      <c r="E33" s="51" t="s">
        <v>174</v>
      </c>
      <c r="F33" s="51" t="s">
        <v>174</v>
      </c>
      <c r="G33" s="52" t="s">
        <v>104</v>
      </c>
      <c r="H33" s="7"/>
      <c r="I33" s="9">
        <f t="shared" si="0"/>
        <v>0</v>
      </c>
      <c r="J33" s="9">
        <f t="shared" si="1"/>
        <v>-5.9200000762939453</v>
      </c>
      <c r="K33" s="9">
        <f t="shared" si="2"/>
        <v>0</v>
      </c>
      <c r="L33" s="8">
        <f t="shared" si="3"/>
        <v>-5.9200000762939453</v>
      </c>
      <c r="M33" s="8">
        <f t="shared" si="4"/>
        <v>0</v>
      </c>
      <c r="N33" s="8">
        <f t="shared" si="5"/>
        <v>0</v>
      </c>
      <c r="P33" s="8">
        <f t="shared" si="6"/>
        <v>-5.9200000762939453</v>
      </c>
      <c r="Q33" s="8">
        <f t="shared" si="8"/>
        <v>-5.9200000762939453</v>
      </c>
      <c r="R33" s="8">
        <f t="shared" si="7"/>
        <v>1252</v>
      </c>
      <c r="S33" s="8">
        <f t="shared" si="9"/>
        <v>1064</v>
      </c>
      <c r="T33" s="8">
        <f t="shared" si="12"/>
        <v>-949.73000407218933</v>
      </c>
      <c r="U33" s="9">
        <f t="shared" si="10"/>
        <v>949.73000407218933</v>
      </c>
      <c r="V33" s="9">
        <f t="shared" si="11"/>
        <v>0</v>
      </c>
      <c r="W33" s="9">
        <f t="shared" si="13"/>
        <v>3029.9100341796875</v>
      </c>
    </row>
    <row r="34" spans="1:34" x14ac:dyDescent="0.2">
      <c r="A34" s="47">
        <v>45804</v>
      </c>
      <c r="B34" s="48" t="s">
        <v>130</v>
      </c>
      <c r="C34" s="44">
        <v>-124</v>
      </c>
      <c r="D34" s="48" t="s">
        <v>230</v>
      </c>
      <c r="E34" s="48" t="s">
        <v>174</v>
      </c>
      <c r="F34" s="48" t="s">
        <v>103</v>
      </c>
      <c r="G34" s="49" t="s">
        <v>105</v>
      </c>
      <c r="H34" s="7"/>
      <c r="I34" s="9">
        <f t="shared" ref="I34:I65" si="14">IF(EXACT(F34,"M"),C34,0)</f>
        <v>-124</v>
      </c>
      <c r="J34" s="9">
        <f t="shared" ref="J34:J65" si="15">IF(EXACT(G34,"CheckingStarOneTXs"),C34,0)</f>
        <v>0</v>
      </c>
      <c r="K34" s="9">
        <f t="shared" ref="K34:K65" si="16">IF(AND(C34&lt;0,EXACT(G34,"VisaChaseTXs")),C34,0)</f>
        <v>-124</v>
      </c>
      <c r="L34" s="8">
        <f t="shared" ref="L34:L65" si="17">IF(AND(AND(F34="",C34&lt;0),E34=""),C34,0)</f>
        <v>0</v>
      </c>
      <c r="M34" s="8">
        <f t="shared" ref="M34:M65" si="18">IF(F34="T",C34,0)</f>
        <v>0</v>
      </c>
      <c r="N34" s="8">
        <f t="shared" ref="N34:N65" si="19">IF(D34="Transfer Savings",C34,0)</f>
        <v>0</v>
      </c>
      <c r="P34" s="8">
        <f t="shared" ref="P34:P65" si="20">IF(AND(IF(C34&lt;0,C34,FALSE),E34&lt;&gt;"y"),C34,0)</f>
        <v>-124</v>
      </c>
      <c r="Q34" s="8">
        <f t="shared" si="8"/>
        <v>-124</v>
      </c>
      <c r="R34" s="8">
        <f t="shared" ref="R34:R65" si="21">IF(ISBLANK(A34),"",ABS($AB$1-(A34+10)))</f>
        <v>1252</v>
      </c>
      <c r="S34" s="8">
        <f t="shared" si="9"/>
        <v>1064</v>
      </c>
      <c r="T34" s="8">
        <f t="shared" si="12"/>
        <v>-1073.7300040721893</v>
      </c>
      <c r="U34" s="9">
        <f t="shared" si="10"/>
        <v>1073.7300040721893</v>
      </c>
      <c r="V34" s="9">
        <f t="shared" si="11"/>
        <v>0</v>
      </c>
      <c r="W34" s="9">
        <f t="shared" si="13"/>
        <v>3029.9100341796875</v>
      </c>
    </row>
    <row r="35" spans="1:34" x14ac:dyDescent="0.2">
      <c r="A35" s="50">
        <v>45804</v>
      </c>
      <c r="B35" s="51" t="s">
        <v>231</v>
      </c>
      <c r="C35" s="45">
        <v>-50</v>
      </c>
      <c r="D35" s="51" t="s">
        <v>230</v>
      </c>
      <c r="E35" s="51" t="s">
        <v>174</v>
      </c>
      <c r="F35" s="51" t="s">
        <v>103</v>
      </c>
      <c r="G35" s="52" t="s">
        <v>105</v>
      </c>
      <c r="H35" s="7"/>
      <c r="I35" s="9">
        <f t="shared" si="14"/>
        <v>-50</v>
      </c>
      <c r="J35" s="9">
        <f t="shared" si="15"/>
        <v>0</v>
      </c>
      <c r="K35" s="9">
        <f t="shared" si="16"/>
        <v>-50</v>
      </c>
      <c r="L35" s="8">
        <f t="shared" si="17"/>
        <v>0</v>
      </c>
      <c r="M35" s="8">
        <f t="shared" si="18"/>
        <v>0</v>
      </c>
      <c r="N35" s="8">
        <f t="shared" si="19"/>
        <v>0</v>
      </c>
      <c r="P35" s="8">
        <f t="shared" si="20"/>
        <v>-50</v>
      </c>
      <c r="Q35" s="8">
        <f t="shared" si="8"/>
        <v>-50</v>
      </c>
      <c r="R35" s="8">
        <f t="shared" si="21"/>
        <v>1252</v>
      </c>
      <c r="S35" s="8">
        <f t="shared" si="9"/>
        <v>1064</v>
      </c>
      <c r="T35" s="8">
        <f t="shared" si="12"/>
        <v>-1123.7300040721893</v>
      </c>
      <c r="U35" s="9">
        <f t="shared" si="10"/>
        <v>1123.7300040721893</v>
      </c>
      <c r="V35" s="9">
        <f t="shared" si="11"/>
        <v>0</v>
      </c>
      <c r="W35" s="9">
        <f t="shared" si="13"/>
        <v>3029.9100341796875</v>
      </c>
    </row>
    <row r="36" spans="1:34" x14ac:dyDescent="0.2">
      <c r="A36" s="47">
        <v>45805</v>
      </c>
      <c r="B36" s="48" t="s">
        <v>363</v>
      </c>
      <c r="C36" s="44">
        <v>-42.830001831054688</v>
      </c>
      <c r="D36" s="48" t="s">
        <v>208</v>
      </c>
      <c r="E36" s="48" t="s">
        <v>174</v>
      </c>
      <c r="F36" s="48" t="s">
        <v>174</v>
      </c>
      <c r="G36" s="49" t="s">
        <v>105</v>
      </c>
      <c r="H36" s="7"/>
      <c r="I36" s="9">
        <f t="shared" si="14"/>
        <v>0</v>
      </c>
      <c r="J36" s="9">
        <f t="shared" si="15"/>
        <v>0</v>
      </c>
      <c r="K36" s="9">
        <f t="shared" si="16"/>
        <v>-42.830001831054688</v>
      </c>
      <c r="L36" s="8">
        <f t="shared" si="17"/>
        <v>-42.830001831054688</v>
      </c>
      <c r="M36" s="8">
        <f t="shared" si="18"/>
        <v>0</v>
      </c>
      <c r="N36" s="8">
        <f t="shared" si="19"/>
        <v>0</v>
      </c>
      <c r="P36" s="8">
        <f t="shared" si="20"/>
        <v>-42.830001831054688</v>
      </c>
      <c r="Q36" s="8">
        <f t="shared" si="8"/>
        <v>-42.830001831054688</v>
      </c>
      <c r="R36" s="8">
        <f t="shared" si="21"/>
        <v>1253</v>
      </c>
      <c r="S36" s="8">
        <f t="shared" si="9"/>
        <v>1065</v>
      </c>
      <c r="T36" s="8">
        <f t="shared" si="12"/>
        <v>-1166.560005903244</v>
      </c>
      <c r="U36" s="9">
        <f t="shared" si="10"/>
        <v>1166.560005903244</v>
      </c>
      <c r="V36" s="9">
        <f t="shared" si="11"/>
        <v>0</v>
      </c>
      <c r="W36" s="9">
        <f t="shared" si="13"/>
        <v>3029.9100341796875</v>
      </c>
    </row>
    <row r="37" spans="1:34" x14ac:dyDescent="0.2">
      <c r="A37" s="50">
        <v>45805</v>
      </c>
      <c r="B37" s="51" t="s">
        <v>364</v>
      </c>
      <c r="C37" s="45">
        <v>-24.629999160766602</v>
      </c>
      <c r="D37" s="51" t="s">
        <v>216</v>
      </c>
      <c r="E37" s="51" t="s">
        <v>174</v>
      </c>
      <c r="F37" s="51" t="s">
        <v>174</v>
      </c>
      <c r="G37" s="52" t="s">
        <v>104</v>
      </c>
      <c r="H37" s="7"/>
      <c r="I37" s="9">
        <f t="shared" si="14"/>
        <v>0</v>
      </c>
      <c r="J37" s="9">
        <f t="shared" si="15"/>
        <v>-24.629999160766602</v>
      </c>
      <c r="K37" s="9">
        <f t="shared" si="16"/>
        <v>0</v>
      </c>
      <c r="L37" s="8">
        <f t="shared" si="17"/>
        <v>-24.629999160766602</v>
      </c>
      <c r="M37" s="8">
        <f t="shared" si="18"/>
        <v>0</v>
      </c>
      <c r="N37" s="8">
        <f t="shared" si="19"/>
        <v>0</v>
      </c>
      <c r="P37" s="8">
        <f t="shared" si="20"/>
        <v>-24.629999160766602</v>
      </c>
      <c r="Q37" s="8">
        <f t="shared" ref="Q37:Q91" si="22">P37</f>
        <v>-24.629999160766602</v>
      </c>
      <c r="R37" s="8">
        <f t="shared" si="21"/>
        <v>1253</v>
      </c>
      <c r="S37" s="8">
        <f t="shared" si="9"/>
        <v>1065</v>
      </c>
      <c r="T37" s="8">
        <f t="shared" ref="T37:T42" si="23">T36+Q37</f>
        <v>-1191.1900050640106</v>
      </c>
      <c r="U37" s="9">
        <f t="shared" si="10"/>
        <v>1191.1900050640106</v>
      </c>
      <c r="V37" s="9">
        <f t="shared" si="11"/>
        <v>0</v>
      </c>
      <c r="W37" s="9">
        <f t="shared" si="13"/>
        <v>3029.9100341796875</v>
      </c>
    </row>
    <row r="38" spans="1:34" x14ac:dyDescent="0.2">
      <c r="A38" s="47">
        <v>45805</v>
      </c>
      <c r="B38" s="48" t="s">
        <v>138</v>
      </c>
      <c r="C38" s="44">
        <v>-25.530000686645508</v>
      </c>
      <c r="D38" s="48" t="s">
        <v>206</v>
      </c>
      <c r="E38" s="48" t="s">
        <v>174</v>
      </c>
      <c r="F38" s="48" t="s">
        <v>174</v>
      </c>
      <c r="G38" s="49" t="s">
        <v>104</v>
      </c>
      <c r="H38" s="7"/>
      <c r="I38" s="9">
        <f t="shared" si="14"/>
        <v>0</v>
      </c>
      <c r="J38" s="9">
        <f t="shared" si="15"/>
        <v>-25.530000686645508</v>
      </c>
      <c r="K38" s="9">
        <f t="shared" si="16"/>
        <v>0</v>
      </c>
      <c r="L38" s="8">
        <f t="shared" si="17"/>
        <v>-25.530000686645508</v>
      </c>
      <c r="M38" s="8">
        <f t="shared" si="18"/>
        <v>0</v>
      </c>
      <c r="N38" s="8">
        <f t="shared" si="19"/>
        <v>0</v>
      </c>
      <c r="P38" s="8">
        <f t="shared" si="20"/>
        <v>-25.530000686645508</v>
      </c>
      <c r="Q38" s="8">
        <f t="shared" si="22"/>
        <v>-25.530000686645508</v>
      </c>
      <c r="R38" s="8">
        <f t="shared" si="21"/>
        <v>1253</v>
      </c>
      <c r="S38" s="8">
        <f t="shared" si="9"/>
        <v>1065</v>
      </c>
      <c r="T38" s="8">
        <f t="shared" si="23"/>
        <v>-1216.7200057506561</v>
      </c>
      <c r="U38" s="9">
        <f t="shared" si="10"/>
        <v>1216.7200057506561</v>
      </c>
      <c r="V38" s="9">
        <f t="shared" si="11"/>
        <v>0</v>
      </c>
      <c r="W38" s="9">
        <f t="shared" si="13"/>
        <v>3029.9100341796875</v>
      </c>
      <c r="AF38">
        <v>7</v>
      </c>
      <c r="AG38">
        <v>31</v>
      </c>
      <c r="AH38">
        <f>(7*31+4*30+28)/12</f>
        <v>30.416666666666668</v>
      </c>
    </row>
    <row r="39" spans="1:34" x14ac:dyDescent="0.2">
      <c r="A39" s="50">
        <v>45805</v>
      </c>
      <c r="B39" s="51" t="s">
        <v>138</v>
      </c>
      <c r="C39" s="45">
        <v>-2.2899999618530273</v>
      </c>
      <c r="D39" s="51" t="s">
        <v>206</v>
      </c>
      <c r="E39" s="51" t="s">
        <v>174</v>
      </c>
      <c r="F39" s="51" t="s">
        <v>174</v>
      </c>
      <c r="G39" s="52" t="s">
        <v>104</v>
      </c>
      <c r="H39" s="7"/>
      <c r="I39" s="9">
        <f t="shared" si="14"/>
        <v>0</v>
      </c>
      <c r="J39" s="9">
        <f t="shared" si="15"/>
        <v>-2.2899999618530273</v>
      </c>
      <c r="K39" s="9">
        <f t="shared" si="16"/>
        <v>0</v>
      </c>
      <c r="L39" s="8">
        <f t="shared" si="17"/>
        <v>-2.2899999618530273</v>
      </c>
      <c r="M39" s="8">
        <f t="shared" si="18"/>
        <v>0</v>
      </c>
      <c r="N39" s="8">
        <f t="shared" si="19"/>
        <v>0</v>
      </c>
      <c r="P39" s="8">
        <f t="shared" si="20"/>
        <v>-2.2899999618530273</v>
      </c>
      <c r="Q39" s="8">
        <f t="shared" si="22"/>
        <v>-2.2899999618530273</v>
      </c>
      <c r="R39" s="8">
        <f t="shared" si="21"/>
        <v>1253</v>
      </c>
      <c r="S39" s="8">
        <f t="shared" si="9"/>
        <v>1065</v>
      </c>
      <c r="T39" s="8">
        <f t="shared" si="23"/>
        <v>-1219.0100057125092</v>
      </c>
      <c r="U39" s="9">
        <f t="shared" si="10"/>
        <v>1219.0100057125092</v>
      </c>
      <c r="V39" s="9">
        <f t="shared" si="11"/>
        <v>0</v>
      </c>
      <c r="W39" s="9">
        <f t="shared" si="13"/>
        <v>3029.9100341796875</v>
      </c>
      <c r="AF39">
        <v>4</v>
      </c>
      <c r="AG39">
        <v>30</v>
      </c>
    </row>
    <row r="40" spans="1:34" x14ac:dyDescent="0.2">
      <c r="A40" s="47">
        <v>45805</v>
      </c>
      <c r="B40" s="48" t="s">
        <v>254</v>
      </c>
      <c r="C40" s="44">
        <v>-12.760000228881836</v>
      </c>
      <c r="D40" s="48" t="s">
        <v>206</v>
      </c>
      <c r="E40" s="48" t="s">
        <v>174</v>
      </c>
      <c r="F40" s="48" t="s">
        <v>174</v>
      </c>
      <c r="G40" s="49" t="s">
        <v>104</v>
      </c>
      <c r="H40" s="7"/>
      <c r="I40" s="9">
        <f t="shared" si="14"/>
        <v>0</v>
      </c>
      <c r="J40" s="9">
        <f t="shared" si="15"/>
        <v>-12.760000228881836</v>
      </c>
      <c r="K40" s="9">
        <f t="shared" si="16"/>
        <v>0</v>
      </c>
      <c r="L40" s="8">
        <f t="shared" si="17"/>
        <v>-12.760000228881836</v>
      </c>
      <c r="M40" s="8">
        <f t="shared" si="18"/>
        <v>0</v>
      </c>
      <c r="N40" s="8">
        <f t="shared" si="19"/>
        <v>0</v>
      </c>
      <c r="P40" s="8">
        <f t="shared" si="20"/>
        <v>-12.760000228881836</v>
      </c>
      <c r="Q40" s="8">
        <f t="shared" si="22"/>
        <v>-12.760000228881836</v>
      </c>
      <c r="R40" s="8">
        <f t="shared" si="21"/>
        <v>1253</v>
      </c>
      <c r="S40" s="8">
        <f t="shared" si="9"/>
        <v>1065</v>
      </c>
      <c r="T40" s="8">
        <f t="shared" si="23"/>
        <v>-1231.770005941391</v>
      </c>
      <c r="U40" s="9">
        <f t="shared" si="10"/>
        <v>1231.770005941391</v>
      </c>
      <c r="V40" s="9">
        <f t="shared" si="11"/>
        <v>0</v>
      </c>
      <c r="W40" s="9">
        <f t="shared" si="13"/>
        <v>3029.9100341796875</v>
      </c>
      <c r="Z40" s="4" t="s">
        <v>15</v>
      </c>
      <c r="AF40">
        <v>1</v>
      </c>
      <c r="AG40">
        <v>28</v>
      </c>
    </row>
    <row r="41" spans="1:34" x14ac:dyDescent="0.2">
      <c r="A41" s="50">
        <v>45805</v>
      </c>
      <c r="B41" s="51" t="s">
        <v>336</v>
      </c>
      <c r="C41" s="45">
        <v>98.529998779296875</v>
      </c>
      <c r="D41" s="51" t="s">
        <v>337</v>
      </c>
      <c r="E41" s="51" t="s">
        <v>174</v>
      </c>
      <c r="F41" s="51" t="s">
        <v>174</v>
      </c>
      <c r="G41" s="52" t="s">
        <v>105</v>
      </c>
      <c r="H41" s="7"/>
      <c r="I41" s="9">
        <f t="shared" si="14"/>
        <v>0</v>
      </c>
      <c r="J41" s="9">
        <f t="shared" si="15"/>
        <v>0</v>
      </c>
      <c r="K41" s="9">
        <f t="shared" si="16"/>
        <v>0</v>
      </c>
      <c r="L41" s="8">
        <f t="shared" si="17"/>
        <v>0</v>
      </c>
      <c r="M41" s="8">
        <f t="shared" si="18"/>
        <v>0</v>
      </c>
      <c r="N41" s="8">
        <f t="shared" si="19"/>
        <v>0</v>
      </c>
      <c r="P41" s="8">
        <f t="shared" si="20"/>
        <v>0</v>
      </c>
      <c r="Q41" s="8">
        <f t="shared" si="22"/>
        <v>0</v>
      </c>
      <c r="R41" s="8">
        <f t="shared" si="21"/>
        <v>1253</v>
      </c>
      <c r="S41" s="8">
        <f t="shared" si="9"/>
        <v>1065</v>
      </c>
      <c r="T41" s="8">
        <f t="shared" si="23"/>
        <v>-1231.770005941391</v>
      </c>
      <c r="U41" s="9">
        <f t="shared" si="10"/>
        <v>1231.770005941391</v>
      </c>
      <c r="V41" s="9">
        <f t="shared" si="11"/>
        <v>98.529998779296875</v>
      </c>
      <c r="W41" s="9">
        <f t="shared" si="13"/>
        <v>3128.4400329589844</v>
      </c>
      <c r="Z41" s="11">
        <f>ABS(MandatoryCalcs!C45)</f>
        <v>0</v>
      </c>
    </row>
    <row r="42" spans="1:34" x14ac:dyDescent="0.2">
      <c r="A42" s="47">
        <v>45805</v>
      </c>
      <c r="B42" s="48" t="s">
        <v>129</v>
      </c>
      <c r="C42" s="44">
        <v>-12</v>
      </c>
      <c r="D42" s="48" t="s">
        <v>229</v>
      </c>
      <c r="E42" s="48" t="s">
        <v>174</v>
      </c>
      <c r="F42" s="48" t="s">
        <v>174</v>
      </c>
      <c r="G42" s="49" t="s">
        <v>105</v>
      </c>
      <c r="H42" s="7"/>
      <c r="I42" s="9">
        <f t="shared" si="14"/>
        <v>0</v>
      </c>
      <c r="J42" s="9">
        <f t="shared" si="15"/>
        <v>0</v>
      </c>
      <c r="K42" s="9">
        <f t="shared" si="16"/>
        <v>-12</v>
      </c>
      <c r="L42" s="8">
        <f t="shared" si="17"/>
        <v>-12</v>
      </c>
      <c r="M42" s="8">
        <f t="shared" si="18"/>
        <v>0</v>
      </c>
      <c r="N42" s="8">
        <f t="shared" si="19"/>
        <v>0</v>
      </c>
      <c r="P42" s="8">
        <f t="shared" si="20"/>
        <v>-12</v>
      </c>
      <c r="Q42" s="8">
        <f t="shared" si="22"/>
        <v>-12</v>
      </c>
      <c r="R42" s="8">
        <f t="shared" si="21"/>
        <v>1253</v>
      </c>
      <c r="S42" s="8">
        <f t="shared" si="9"/>
        <v>1065</v>
      </c>
      <c r="T42" s="8">
        <f t="shared" si="23"/>
        <v>-1243.770005941391</v>
      </c>
      <c r="U42" s="9">
        <f t="shared" si="10"/>
        <v>1243.770005941391</v>
      </c>
      <c r="V42" s="9">
        <f t="shared" si="11"/>
        <v>0</v>
      </c>
      <c r="W42" s="9">
        <f t="shared" si="13"/>
        <v>3128.4400329589844</v>
      </c>
    </row>
    <row r="43" spans="1:34" x14ac:dyDescent="0.2">
      <c r="A43" s="50">
        <v>45805</v>
      </c>
      <c r="B43" s="51" t="s">
        <v>129</v>
      </c>
      <c r="C43" s="45">
        <v>12</v>
      </c>
      <c r="D43" s="51" t="s">
        <v>229</v>
      </c>
      <c r="E43" s="51" t="s">
        <v>174</v>
      </c>
      <c r="F43" s="51" t="s">
        <v>174</v>
      </c>
      <c r="G43" s="52" t="s">
        <v>105</v>
      </c>
      <c r="H43" s="7"/>
      <c r="I43" s="9">
        <f t="shared" si="14"/>
        <v>0</v>
      </c>
      <c r="J43" s="9">
        <f t="shared" si="15"/>
        <v>0</v>
      </c>
      <c r="K43" s="9">
        <f t="shared" si="16"/>
        <v>0</v>
      </c>
      <c r="L43" s="8">
        <f t="shared" si="17"/>
        <v>0</v>
      </c>
      <c r="M43" s="8">
        <f t="shared" si="18"/>
        <v>0</v>
      </c>
      <c r="N43" s="8">
        <f t="shared" si="19"/>
        <v>0</v>
      </c>
      <c r="P43" s="8">
        <f t="shared" si="20"/>
        <v>0</v>
      </c>
      <c r="Q43" s="8">
        <f t="shared" si="22"/>
        <v>0</v>
      </c>
      <c r="R43" s="8">
        <f t="shared" si="21"/>
        <v>1253</v>
      </c>
      <c r="S43" s="8">
        <f t="shared" si="9"/>
        <v>1065</v>
      </c>
      <c r="T43" s="8">
        <f t="shared" ref="T43:T91" si="24">T42+Q43</f>
        <v>-1243.770005941391</v>
      </c>
      <c r="U43" s="9">
        <f t="shared" si="10"/>
        <v>1243.770005941391</v>
      </c>
      <c r="V43" s="9">
        <f t="shared" si="11"/>
        <v>12</v>
      </c>
      <c r="W43" s="9">
        <f t="shared" si="13"/>
        <v>3140.4400329589844</v>
      </c>
    </row>
    <row r="44" spans="1:34" x14ac:dyDescent="0.2">
      <c r="A44" s="47">
        <v>45805</v>
      </c>
      <c r="B44" s="48" t="s">
        <v>365</v>
      </c>
      <c r="C44" s="44">
        <v>-515</v>
      </c>
      <c r="D44" s="48" t="s">
        <v>223</v>
      </c>
      <c r="E44" s="48" t="s">
        <v>174</v>
      </c>
      <c r="F44" s="48" t="s">
        <v>174</v>
      </c>
      <c r="G44" s="49" t="s">
        <v>105</v>
      </c>
      <c r="H44" s="7"/>
      <c r="I44" s="9">
        <f t="shared" si="14"/>
        <v>0</v>
      </c>
      <c r="J44" s="9">
        <f t="shared" si="15"/>
        <v>0</v>
      </c>
      <c r="K44" s="9">
        <f t="shared" si="16"/>
        <v>-515</v>
      </c>
      <c r="L44" s="8">
        <f t="shared" si="17"/>
        <v>-515</v>
      </c>
      <c r="M44" s="8">
        <f t="shared" si="18"/>
        <v>0</v>
      </c>
      <c r="N44" s="8">
        <f t="shared" si="19"/>
        <v>0</v>
      </c>
      <c r="P44" s="8">
        <f t="shared" si="20"/>
        <v>-515</v>
      </c>
      <c r="Q44" s="8">
        <f t="shared" si="22"/>
        <v>-515</v>
      </c>
      <c r="R44" s="8">
        <f t="shared" si="21"/>
        <v>1253</v>
      </c>
      <c r="S44" s="8">
        <f t="shared" si="9"/>
        <v>1065</v>
      </c>
      <c r="T44" s="8">
        <f t="shared" si="24"/>
        <v>-1758.770005941391</v>
      </c>
      <c r="U44" s="9">
        <f t="shared" si="10"/>
        <v>1758.770005941391</v>
      </c>
      <c r="V44" s="9">
        <f t="shared" si="11"/>
        <v>0</v>
      </c>
      <c r="W44" s="9">
        <f t="shared" si="13"/>
        <v>3140.4400329589844</v>
      </c>
    </row>
    <row r="45" spans="1:34" x14ac:dyDescent="0.2">
      <c r="A45" s="50">
        <v>45805</v>
      </c>
      <c r="B45" s="51" t="s">
        <v>366</v>
      </c>
      <c r="C45" s="45">
        <v>-73.330001831054688</v>
      </c>
      <c r="D45" s="51" t="s">
        <v>235</v>
      </c>
      <c r="E45" s="51" t="s">
        <v>174</v>
      </c>
      <c r="F45" s="51" t="s">
        <v>174</v>
      </c>
      <c r="G45" s="52" t="s">
        <v>105</v>
      </c>
      <c r="H45" s="7"/>
      <c r="I45" s="9">
        <f t="shared" si="14"/>
        <v>0</v>
      </c>
      <c r="J45" s="9">
        <f t="shared" si="15"/>
        <v>0</v>
      </c>
      <c r="K45" s="9">
        <f t="shared" si="16"/>
        <v>-73.330001831054688</v>
      </c>
      <c r="L45" s="8">
        <f t="shared" si="17"/>
        <v>-73.330001831054688</v>
      </c>
      <c r="M45" s="8">
        <f t="shared" si="18"/>
        <v>0</v>
      </c>
      <c r="N45" s="8">
        <f t="shared" si="19"/>
        <v>0</v>
      </c>
      <c r="P45" s="8">
        <f t="shared" si="20"/>
        <v>-73.330001831054688</v>
      </c>
      <c r="Q45" s="8">
        <f t="shared" si="22"/>
        <v>-73.330001831054688</v>
      </c>
      <c r="R45" s="8">
        <f t="shared" si="21"/>
        <v>1253</v>
      </c>
      <c r="S45" s="8">
        <f t="shared" si="9"/>
        <v>1065</v>
      </c>
      <c r="T45" s="8">
        <f t="shared" si="24"/>
        <v>-1832.1000077724457</v>
      </c>
      <c r="U45" s="9">
        <f t="shared" si="10"/>
        <v>1832.1000077724457</v>
      </c>
      <c r="V45" s="9">
        <f t="shared" si="11"/>
        <v>0</v>
      </c>
      <c r="W45" s="9">
        <f t="shared" si="13"/>
        <v>3140.4400329589844</v>
      </c>
    </row>
    <row r="46" spans="1:34" x14ac:dyDescent="0.2">
      <c r="A46" s="47">
        <v>45805</v>
      </c>
      <c r="B46" s="48" t="s">
        <v>367</v>
      </c>
      <c r="C46" s="44">
        <v>-441.8800048828125</v>
      </c>
      <c r="D46" s="48" t="s">
        <v>217</v>
      </c>
      <c r="E46" s="48" t="s">
        <v>174</v>
      </c>
      <c r="F46" s="48" t="s">
        <v>174</v>
      </c>
      <c r="G46" s="49" t="s">
        <v>104</v>
      </c>
      <c r="H46" s="7"/>
      <c r="I46" s="9">
        <f t="shared" si="14"/>
        <v>0</v>
      </c>
      <c r="J46" s="9">
        <f t="shared" si="15"/>
        <v>-441.8800048828125</v>
      </c>
      <c r="K46" s="9">
        <f t="shared" si="16"/>
        <v>0</v>
      </c>
      <c r="L46" s="8">
        <f t="shared" si="17"/>
        <v>-441.8800048828125</v>
      </c>
      <c r="M46" s="8">
        <f t="shared" si="18"/>
        <v>0</v>
      </c>
      <c r="N46" s="8">
        <f t="shared" si="19"/>
        <v>0</v>
      </c>
      <c r="P46" s="8">
        <f t="shared" si="20"/>
        <v>-441.8800048828125</v>
      </c>
      <c r="Q46" s="8">
        <f t="shared" si="22"/>
        <v>-441.8800048828125</v>
      </c>
      <c r="R46" s="8">
        <f t="shared" si="21"/>
        <v>1253</v>
      </c>
      <c r="S46" s="8">
        <f t="shared" si="9"/>
        <v>1065</v>
      </c>
      <c r="T46" s="8">
        <f t="shared" si="24"/>
        <v>-2273.9800126552582</v>
      </c>
      <c r="U46" s="9">
        <f t="shared" si="10"/>
        <v>2273.9800126552582</v>
      </c>
      <c r="V46" s="9">
        <f t="shared" si="11"/>
        <v>0</v>
      </c>
      <c r="W46" s="9">
        <f t="shared" si="13"/>
        <v>3140.4400329589844</v>
      </c>
    </row>
    <row r="47" spans="1:34" x14ac:dyDescent="0.2">
      <c r="A47" s="50">
        <v>45805</v>
      </c>
      <c r="B47" s="51" t="s">
        <v>228</v>
      </c>
      <c r="C47" s="45">
        <v>-59.459999084472656</v>
      </c>
      <c r="D47" s="51" t="s">
        <v>216</v>
      </c>
      <c r="E47" s="51" t="s">
        <v>174</v>
      </c>
      <c r="F47" s="51" t="s">
        <v>174</v>
      </c>
      <c r="G47" s="52" t="s">
        <v>104</v>
      </c>
      <c r="H47" s="7"/>
      <c r="I47" s="9">
        <f t="shared" si="14"/>
        <v>0</v>
      </c>
      <c r="J47" s="9">
        <f t="shared" si="15"/>
        <v>-59.459999084472656</v>
      </c>
      <c r="K47" s="9">
        <f t="shared" si="16"/>
        <v>0</v>
      </c>
      <c r="L47" s="8">
        <f t="shared" si="17"/>
        <v>-59.459999084472656</v>
      </c>
      <c r="M47" s="8">
        <f t="shared" si="18"/>
        <v>0</v>
      </c>
      <c r="N47" s="8">
        <f t="shared" si="19"/>
        <v>0</v>
      </c>
      <c r="P47" s="8">
        <f t="shared" si="20"/>
        <v>-59.459999084472656</v>
      </c>
      <c r="Q47" s="8">
        <f t="shared" si="22"/>
        <v>-59.459999084472656</v>
      </c>
      <c r="R47" s="8">
        <f t="shared" si="21"/>
        <v>1253</v>
      </c>
      <c r="S47" s="8">
        <f t="shared" si="9"/>
        <v>1065</v>
      </c>
      <c r="T47" s="8">
        <f t="shared" si="24"/>
        <v>-2333.4400117397308</v>
      </c>
      <c r="U47" s="9">
        <f t="shared" si="10"/>
        <v>2333.4400117397308</v>
      </c>
      <c r="V47" s="9">
        <f t="shared" si="11"/>
        <v>0</v>
      </c>
      <c r="W47" s="9">
        <f t="shared" si="13"/>
        <v>3140.4400329589844</v>
      </c>
    </row>
    <row r="48" spans="1:34" x14ac:dyDescent="0.2">
      <c r="A48" s="47">
        <v>45806</v>
      </c>
      <c r="B48" s="48" t="s">
        <v>368</v>
      </c>
      <c r="C48" s="44">
        <v>-14.989999771118164</v>
      </c>
      <c r="D48" s="48" t="s">
        <v>211</v>
      </c>
      <c r="E48" s="48" t="s">
        <v>174</v>
      </c>
      <c r="F48" s="48" t="s">
        <v>174</v>
      </c>
      <c r="G48" s="49" t="s">
        <v>105</v>
      </c>
      <c r="H48" s="7"/>
      <c r="I48" s="9">
        <f t="shared" si="14"/>
        <v>0</v>
      </c>
      <c r="J48" s="9">
        <f t="shared" si="15"/>
        <v>0</v>
      </c>
      <c r="K48" s="9">
        <f t="shared" si="16"/>
        <v>-14.989999771118164</v>
      </c>
      <c r="L48" s="8">
        <f t="shared" si="17"/>
        <v>-14.989999771118164</v>
      </c>
      <c r="M48" s="8">
        <f t="shared" si="18"/>
        <v>0</v>
      </c>
      <c r="N48" s="8">
        <f t="shared" si="19"/>
        <v>0</v>
      </c>
      <c r="P48" s="8">
        <f t="shared" si="20"/>
        <v>-14.989999771118164</v>
      </c>
      <c r="Q48" s="8">
        <f t="shared" si="22"/>
        <v>-14.989999771118164</v>
      </c>
      <c r="R48" s="8">
        <f t="shared" si="21"/>
        <v>1254</v>
      </c>
      <c r="S48" s="8">
        <f t="shared" si="9"/>
        <v>1066</v>
      </c>
      <c r="T48" s="8">
        <f t="shared" si="24"/>
        <v>-2348.430011510849</v>
      </c>
      <c r="U48" s="9">
        <f t="shared" si="10"/>
        <v>2348.430011510849</v>
      </c>
      <c r="V48" s="9">
        <f t="shared" si="11"/>
        <v>0</v>
      </c>
      <c r="W48" s="9">
        <f t="shared" si="13"/>
        <v>3140.4400329589844</v>
      </c>
    </row>
    <row r="49" spans="1:23" x14ac:dyDescent="0.2">
      <c r="A49" s="50">
        <v>45806</v>
      </c>
      <c r="B49" s="51" t="s">
        <v>369</v>
      </c>
      <c r="C49" s="45">
        <v>15.159999847412109</v>
      </c>
      <c r="D49" s="51" t="s">
        <v>213</v>
      </c>
      <c r="E49" s="51" t="s">
        <v>174</v>
      </c>
      <c r="F49" s="51" t="s">
        <v>174</v>
      </c>
      <c r="G49" s="52" t="s">
        <v>104</v>
      </c>
      <c r="H49" s="7"/>
      <c r="I49" s="9">
        <f t="shared" si="14"/>
        <v>0</v>
      </c>
      <c r="J49" s="9">
        <f t="shared" si="15"/>
        <v>15.159999847412109</v>
      </c>
      <c r="K49" s="9">
        <f t="shared" si="16"/>
        <v>0</v>
      </c>
      <c r="L49" s="8">
        <f t="shared" si="17"/>
        <v>0</v>
      </c>
      <c r="M49" s="8">
        <f t="shared" si="18"/>
        <v>0</v>
      </c>
      <c r="N49" s="8">
        <f t="shared" si="19"/>
        <v>0</v>
      </c>
      <c r="P49" s="8">
        <f t="shared" si="20"/>
        <v>0</v>
      </c>
      <c r="Q49" s="8">
        <f t="shared" si="22"/>
        <v>0</v>
      </c>
      <c r="R49" s="8">
        <f t="shared" si="21"/>
        <v>1254</v>
      </c>
      <c r="S49" s="8">
        <f t="shared" si="9"/>
        <v>1066</v>
      </c>
      <c r="T49" s="8">
        <f t="shared" si="24"/>
        <v>-2348.430011510849</v>
      </c>
      <c r="U49" s="9">
        <f t="shared" si="10"/>
        <v>2348.430011510849</v>
      </c>
      <c r="V49" s="9">
        <f t="shared" si="11"/>
        <v>15.159999847412109</v>
      </c>
      <c r="W49" s="9">
        <f t="shared" si="13"/>
        <v>3155.6000328063965</v>
      </c>
    </row>
    <row r="50" spans="1:23" x14ac:dyDescent="0.2">
      <c r="A50" s="47">
        <v>45807</v>
      </c>
      <c r="B50" s="48" t="s">
        <v>240</v>
      </c>
      <c r="C50" s="44">
        <v>617.6500244140625</v>
      </c>
      <c r="D50" s="48" t="s">
        <v>213</v>
      </c>
      <c r="E50" s="48" t="s">
        <v>174</v>
      </c>
      <c r="F50" s="48" t="s">
        <v>174</v>
      </c>
      <c r="G50" s="49" t="s">
        <v>104</v>
      </c>
      <c r="H50" s="7"/>
      <c r="I50" s="9">
        <f t="shared" si="14"/>
        <v>0</v>
      </c>
      <c r="J50" s="9">
        <f t="shared" si="15"/>
        <v>617.6500244140625</v>
      </c>
      <c r="K50" s="9">
        <f t="shared" si="16"/>
        <v>0</v>
      </c>
      <c r="L50" s="8">
        <f t="shared" si="17"/>
        <v>0</v>
      </c>
      <c r="M50" s="8">
        <f t="shared" si="18"/>
        <v>0</v>
      </c>
      <c r="N50" s="8">
        <f t="shared" si="19"/>
        <v>0</v>
      </c>
      <c r="P50" s="8">
        <f t="shared" si="20"/>
        <v>0</v>
      </c>
      <c r="Q50" s="8">
        <f t="shared" si="22"/>
        <v>0</v>
      </c>
      <c r="R50" s="8">
        <f t="shared" si="21"/>
        <v>1255</v>
      </c>
      <c r="S50" s="8">
        <f t="shared" si="9"/>
        <v>1067</v>
      </c>
      <c r="T50" s="8">
        <f t="shared" si="24"/>
        <v>-2348.430011510849</v>
      </c>
      <c r="U50" s="9">
        <f t="shared" si="10"/>
        <v>2348.430011510849</v>
      </c>
      <c r="V50" s="9">
        <f t="shared" si="11"/>
        <v>617.6500244140625</v>
      </c>
      <c r="W50" s="9">
        <f t="shared" si="13"/>
        <v>3773.250057220459</v>
      </c>
    </row>
    <row r="51" spans="1:23" x14ac:dyDescent="0.2">
      <c r="A51" s="50">
        <v>45807</v>
      </c>
      <c r="B51" s="51" t="s">
        <v>370</v>
      </c>
      <c r="C51" s="45">
        <v>-16.479999542236328</v>
      </c>
      <c r="D51" s="51" t="s">
        <v>226</v>
      </c>
      <c r="E51" s="51" t="s">
        <v>174</v>
      </c>
      <c r="F51" s="51" t="s">
        <v>174</v>
      </c>
      <c r="G51" s="52" t="s">
        <v>105</v>
      </c>
      <c r="H51" s="7"/>
      <c r="I51" s="9">
        <f t="shared" si="14"/>
        <v>0</v>
      </c>
      <c r="J51" s="9">
        <f t="shared" si="15"/>
        <v>0</v>
      </c>
      <c r="K51" s="9">
        <f t="shared" si="16"/>
        <v>-16.479999542236328</v>
      </c>
      <c r="L51" s="8">
        <f t="shared" si="17"/>
        <v>-16.479999542236328</v>
      </c>
      <c r="M51" s="8">
        <f t="shared" si="18"/>
        <v>0</v>
      </c>
      <c r="N51" s="8">
        <f t="shared" si="19"/>
        <v>0</v>
      </c>
      <c r="P51" s="8">
        <f t="shared" si="20"/>
        <v>-16.479999542236328</v>
      </c>
      <c r="Q51" s="8">
        <f t="shared" si="22"/>
        <v>-16.479999542236328</v>
      </c>
      <c r="R51" s="8">
        <f t="shared" si="21"/>
        <v>1255</v>
      </c>
      <c r="S51" s="8">
        <f t="shared" si="9"/>
        <v>1067</v>
      </c>
      <c r="T51" s="8">
        <f t="shared" si="24"/>
        <v>-2364.9100110530853</v>
      </c>
      <c r="U51" s="9">
        <f t="shared" si="10"/>
        <v>2364.9100110530853</v>
      </c>
      <c r="V51" s="9">
        <f t="shared" si="11"/>
        <v>0</v>
      </c>
      <c r="W51" s="9">
        <f t="shared" si="13"/>
        <v>3773.250057220459</v>
      </c>
    </row>
    <row r="52" spans="1:23" x14ac:dyDescent="0.2">
      <c r="A52" s="47">
        <v>45808</v>
      </c>
      <c r="B52" s="48" t="s">
        <v>127</v>
      </c>
      <c r="C52" s="44">
        <v>15.979999542236328</v>
      </c>
      <c r="D52" s="48" t="s">
        <v>213</v>
      </c>
      <c r="E52" s="48" t="s">
        <v>174</v>
      </c>
      <c r="F52" s="48" t="s">
        <v>174</v>
      </c>
      <c r="G52" s="49" t="s">
        <v>104</v>
      </c>
      <c r="H52" s="7"/>
      <c r="I52" s="9">
        <f t="shared" si="14"/>
        <v>0</v>
      </c>
      <c r="J52" s="9">
        <f t="shared" si="15"/>
        <v>15.979999542236328</v>
      </c>
      <c r="K52" s="9">
        <f t="shared" si="16"/>
        <v>0</v>
      </c>
      <c r="L52" s="8">
        <f t="shared" si="17"/>
        <v>0</v>
      </c>
      <c r="M52" s="8">
        <f t="shared" si="18"/>
        <v>0</v>
      </c>
      <c r="N52" s="8">
        <f t="shared" si="19"/>
        <v>0</v>
      </c>
      <c r="P52" s="8">
        <f t="shared" si="20"/>
        <v>0</v>
      </c>
      <c r="Q52" s="8">
        <f t="shared" si="22"/>
        <v>0</v>
      </c>
      <c r="R52" s="8">
        <f t="shared" si="21"/>
        <v>1256</v>
      </c>
      <c r="S52" s="8">
        <f t="shared" si="9"/>
        <v>1068</v>
      </c>
      <c r="T52" s="8">
        <f t="shared" si="24"/>
        <v>-2364.9100110530853</v>
      </c>
      <c r="U52" s="9">
        <f t="shared" si="10"/>
        <v>2364.9100110530853</v>
      </c>
      <c r="V52" s="9">
        <f t="shared" si="11"/>
        <v>15.979999542236328</v>
      </c>
      <c r="W52" s="9">
        <f t="shared" si="13"/>
        <v>3789.2300567626953</v>
      </c>
    </row>
    <row r="53" spans="1:23" x14ac:dyDescent="0.2">
      <c r="A53" s="50">
        <v>45809</v>
      </c>
      <c r="B53" s="51" t="s">
        <v>116</v>
      </c>
      <c r="C53" s="45">
        <v>-9.9899997711181641</v>
      </c>
      <c r="D53" s="51" t="s">
        <v>211</v>
      </c>
      <c r="E53" s="51" t="s">
        <v>174</v>
      </c>
      <c r="F53" s="51" t="s">
        <v>103</v>
      </c>
      <c r="G53" s="52" t="s">
        <v>105</v>
      </c>
      <c r="H53" s="7"/>
      <c r="I53" s="9">
        <f t="shared" si="14"/>
        <v>-9.9899997711181641</v>
      </c>
      <c r="J53" s="9">
        <f t="shared" si="15"/>
        <v>0</v>
      </c>
      <c r="K53" s="9">
        <f t="shared" si="16"/>
        <v>-9.9899997711181641</v>
      </c>
      <c r="L53" s="8">
        <f t="shared" si="17"/>
        <v>0</v>
      </c>
      <c r="M53" s="8">
        <f t="shared" si="18"/>
        <v>0</v>
      </c>
      <c r="N53" s="8">
        <f t="shared" si="19"/>
        <v>0</v>
      </c>
      <c r="P53" s="8">
        <f t="shared" si="20"/>
        <v>-9.9899997711181641</v>
      </c>
      <c r="Q53" s="8">
        <f t="shared" si="22"/>
        <v>-9.9899997711181641</v>
      </c>
      <c r="R53" s="8">
        <f t="shared" si="21"/>
        <v>1257</v>
      </c>
      <c r="S53" s="8">
        <f t="shared" si="9"/>
        <v>1069</v>
      </c>
      <c r="T53" s="8">
        <f t="shared" si="24"/>
        <v>-2374.9000108242035</v>
      </c>
      <c r="U53" s="9">
        <f t="shared" si="10"/>
        <v>2374.9000108242035</v>
      </c>
      <c r="V53" s="9">
        <f t="shared" si="11"/>
        <v>0</v>
      </c>
      <c r="W53" s="9">
        <f t="shared" si="13"/>
        <v>3789.2300567626953</v>
      </c>
    </row>
    <row r="54" spans="1:23" x14ac:dyDescent="0.2">
      <c r="A54" s="47">
        <v>45810</v>
      </c>
      <c r="B54" s="48" t="s">
        <v>374</v>
      </c>
      <c r="C54" s="44">
        <v>3.5</v>
      </c>
      <c r="D54" s="48" t="s">
        <v>126</v>
      </c>
      <c r="E54" s="48" t="s">
        <v>174</v>
      </c>
      <c r="F54" s="48" t="s">
        <v>174</v>
      </c>
      <c r="G54" s="49" t="s">
        <v>104</v>
      </c>
      <c r="H54" s="7"/>
      <c r="I54" s="9">
        <f t="shared" si="14"/>
        <v>0</v>
      </c>
      <c r="J54" s="9">
        <f t="shared" si="15"/>
        <v>3.5</v>
      </c>
      <c r="K54" s="9">
        <f t="shared" si="16"/>
        <v>0</v>
      </c>
      <c r="L54" s="8">
        <f t="shared" si="17"/>
        <v>0</v>
      </c>
      <c r="M54" s="8">
        <f t="shared" si="18"/>
        <v>0</v>
      </c>
      <c r="N54" s="8">
        <f t="shared" si="19"/>
        <v>0</v>
      </c>
      <c r="P54" s="8">
        <f t="shared" si="20"/>
        <v>0</v>
      </c>
      <c r="Q54" s="8">
        <f t="shared" si="22"/>
        <v>0</v>
      </c>
      <c r="R54" s="8">
        <f t="shared" si="21"/>
        <v>1258</v>
      </c>
      <c r="S54" s="8">
        <f t="shared" si="9"/>
        <v>1070</v>
      </c>
      <c r="T54" s="8">
        <f t="shared" si="24"/>
        <v>-2374.9000108242035</v>
      </c>
      <c r="U54" s="9">
        <f t="shared" si="10"/>
        <v>2374.9000108242035</v>
      </c>
      <c r="V54" s="9">
        <f t="shared" si="11"/>
        <v>3.5</v>
      </c>
      <c r="W54" s="9">
        <f t="shared" si="13"/>
        <v>3792.7300567626953</v>
      </c>
    </row>
    <row r="55" spans="1:23" x14ac:dyDescent="0.2">
      <c r="A55" s="50">
        <v>45810</v>
      </c>
      <c r="B55" s="51" t="s">
        <v>371</v>
      </c>
      <c r="C55" s="45">
        <v>-2.3599998950958252</v>
      </c>
      <c r="D55" s="51" t="s">
        <v>238</v>
      </c>
      <c r="E55" s="51" t="s">
        <v>174</v>
      </c>
      <c r="F55" s="51" t="s">
        <v>174</v>
      </c>
      <c r="G55" s="52" t="s">
        <v>105</v>
      </c>
      <c r="H55" s="7"/>
      <c r="I55" s="9">
        <f t="shared" si="14"/>
        <v>0</v>
      </c>
      <c r="J55" s="9">
        <f t="shared" si="15"/>
        <v>0</v>
      </c>
      <c r="K55" s="9">
        <f t="shared" si="16"/>
        <v>-2.3599998950958252</v>
      </c>
      <c r="L55" s="8">
        <f t="shared" si="17"/>
        <v>-2.3599998950958252</v>
      </c>
      <c r="M55" s="8">
        <f t="shared" si="18"/>
        <v>0</v>
      </c>
      <c r="N55" s="8">
        <f t="shared" si="19"/>
        <v>0</v>
      </c>
      <c r="P55" s="8">
        <f t="shared" si="20"/>
        <v>-2.3599998950958252</v>
      </c>
      <c r="Q55" s="8">
        <f t="shared" si="22"/>
        <v>-2.3599998950958252</v>
      </c>
      <c r="R55" s="8">
        <f t="shared" si="21"/>
        <v>1258</v>
      </c>
      <c r="S55" s="8">
        <f t="shared" si="9"/>
        <v>1070</v>
      </c>
      <c r="T55" s="8">
        <f t="shared" si="24"/>
        <v>-2377.2600107192993</v>
      </c>
      <c r="U55" s="9">
        <f t="shared" si="10"/>
        <v>2377.2600107192993</v>
      </c>
      <c r="V55" s="9">
        <f t="shared" si="11"/>
        <v>0</v>
      </c>
      <c r="W55" s="9">
        <f t="shared" si="13"/>
        <v>3792.7300567626953</v>
      </c>
    </row>
    <row r="56" spans="1:23" x14ac:dyDescent="0.2">
      <c r="A56" s="47">
        <v>45810</v>
      </c>
      <c r="B56" s="48" t="s">
        <v>372</v>
      </c>
      <c r="C56" s="44">
        <v>-5.0999999046325684</v>
      </c>
      <c r="D56" s="48" t="s">
        <v>226</v>
      </c>
      <c r="E56" s="48" t="s">
        <v>174</v>
      </c>
      <c r="F56" s="48" t="s">
        <v>174</v>
      </c>
      <c r="G56" s="49" t="s">
        <v>105</v>
      </c>
      <c r="H56" s="7"/>
      <c r="I56" s="9">
        <f t="shared" si="14"/>
        <v>0</v>
      </c>
      <c r="J56" s="9">
        <f t="shared" si="15"/>
        <v>0</v>
      </c>
      <c r="K56" s="9">
        <f t="shared" si="16"/>
        <v>-5.0999999046325684</v>
      </c>
      <c r="L56" s="8">
        <f t="shared" si="17"/>
        <v>-5.0999999046325684</v>
      </c>
      <c r="M56" s="8">
        <f t="shared" si="18"/>
        <v>0</v>
      </c>
      <c r="N56" s="8">
        <f t="shared" si="19"/>
        <v>0</v>
      </c>
      <c r="P56" s="8">
        <f t="shared" si="20"/>
        <v>-5.0999999046325684</v>
      </c>
      <c r="Q56" s="8">
        <f t="shared" si="22"/>
        <v>-5.0999999046325684</v>
      </c>
      <c r="R56" s="8">
        <f t="shared" si="21"/>
        <v>1258</v>
      </c>
      <c r="S56" s="8">
        <f t="shared" si="9"/>
        <v>1070</v>
      </c>
      <c r="T56" s="8">
        <f t="shared" si="24"/>
        <v>-2382.3600106239319</v>
      </c>
      <c r="U56" s="9">
        <f t="shared" si="10"/>
        <v>2382.3600106239319</v>
      </c>
      <c r="V56" s="9">
        <f t="shared" si="11"/>
        <v>0</v>
      </c>
      <c r="W56" s="9">
        <f t="shared" si="13"/>
        <v>3792.7300567626953</v>
      </c>
    </row>
    <row r="57" spans="1:23" x14ac:dyDescent="0.2">
      <c r="A57" s="50">
        <v>45810</v>
      </c>
      <c r="B57" s="51" t="s">
        <v>372</v>
      </c>
      <c r="C57" s="45">
        <v>-3.1500000953674316</v>
      </c>
      <c r="D57" s="51" t="s">
        <v>226</v>
      </c>
      <c r="E57" s="51" t="s">
        <v>174</v>
      </c>
      <c r="F57" s="51" t="s">
        <v>174</v>
      </c>
      <c r="G57" s="52" t="s">
        <v>105</v>
      </c>
      <c r="H57" s="7"/>
      <c r="I57" s="9">
        <f t="shared" si="14"/>
        <v>0</v>
      </c>
      <c r="J57" s="9">
        <f t="shared" si="15"/>
        <v>0</v>
      </c>
      <c r="K57" s="9">
        <f t="shared" si="16"/>
        <v>-3.1500000953674316</v>
      </c>
      <c r="L57" s="8">
        <f t="shared" si="17"/>
        <v>-3.1500000953674316</v>
      </c>
      <c r="M57" s="8">
        <f t="shared" si="18"/>
        <v>0</v>
      </c>
      <c r="N57" s="8">
        <f t="shared" si="19"/>
        <v>0</v>
      </c>
      <c r="P57" s="8">
        <f t="shared" si="20"/>
        <v>-3.1500000953674316</v>
      </c>
      <c r="Q57" s="8">
        <f t="shared" si="22"/>
        <v>-3.1500000953674316</v>
      </c>
      <c r="R57" s="8">
        <f t="shared" si="21"/>
        <v>1258</v>
      </c>
      <c r="S57" s="8">
        <f t="shared" si="9"/>
        <v>1070</v>
      </c>
      <c r="T57" s="8">
        <f t="shared" si="24"/>
        <v>-2385.5100107192993</v>
      </c>
      <c r="U57" s="9">
        <f t="shared" si="10"/>
        <v>2385.5100107192993</v>
      </c>
      <c r="V57" s="9">
        <f t="shared" si="11"/>
        <v>0</v>
      </c>
      <c r="W57" s="9">
        <f t="shared" si="13"/>
        <v>3792.7300567626953</v>
      </c>
    </row>
    <row r="58" spans="1:23" x14ac:dyDescent="0.2">
      <c r="A58" s="47">
        <v>45810</v>
      </c>
      <c r="B58" s="48" t="s">
        <v>375</v>
      </c>
      <c r="C58" s="44">
        <v>-74.790000915527344</v>
      </c>
      <c r="D58" s="48" t="s">
        <v>233</v>
      </c>
      <c r="E58" s="48" t="s">
        <v>174</v>
      </c>
      <c r="F58" s="48" t="s">
        <v>103</v>
      </c>
      <c r="G58" s="49" t="s">
        <v>104</v>
      </c>
      <c r="H58" s="7"/>
      <c r="I58" s="9">
        <f t="shared" si="14"/>
        <v>-74.790000915527344</v>
      </c>
      <c r="J58" s="9">
        <f t="shared" si="15"/>
        <v>-74.790000915527344</v>
      </c>
      <c r="K58" s="9">
        <f t="shared" si="16"/>
        <v>0</v>
      </c>
      <c r="L58" s="8">
        <f t="shared" si="17"/>
        <v>0</v>
      </c>
      <c r="M58" s="8">
        <f t="shared" si="18"/>
        <v>0</v>
      </c>
      <c r="N58" s="8">
        <f t="shared" si="19"/>
        <v>0</v>
      </c>
      <c r="P58" s="8">
        <f t="shared" si="20"/>
        <v>-74.790000915527344</v>
      </c>
      <c r="Q58" s="8">
        <f t="shared" si="22"/>
        <v>-74.790000915527344</v>
      </c>
      <c r="R58" s="8">
        <f t="shared" si="21"/>
        <v>1258</v>
      </c>
      <c r="S58" s="8">
        <f t="shared" si="9"/>
        <v>1070</v>
      </c>
      <c r="T58" s="8">
        <f t="shared" si="24"/>
        <v>-2460.3000116348267</v>
      </c>
      <c r="U58" s="9">
        <f t="shared" si="10"/>
        <v>2460.3000116348267</v>
      </c>
      <c r="V58" s="9">
        <f t="shared" si="11"/>
        <v>0</v>
      </c>
      <c r="W58" s="9">
        <f t="shared" si="13"/>
        <v>3792.7300567626953</v>
      </c>
    </row>
    <row r="59" spans="1:23" x14ac:dyDescent="0.2">
      <c r="A59" s="50">
        <v>45810</v>
      </c>
      <c r="B59" s="51" t="s">
        <v>373</v>
      </c>
      <c r="C59" s="45">
        <v>-59.090000152587891</v>
      </c>
      <c r="D59" s="51" t="s">
        <v>219</v>
      </c>
      <c r="E59" s="51" t="s">
        <v>174</v>
      </c>
      <c r="F59" s="51" t="s">
        <v>174</v>
      </c>
      <c r="G59" s="52" t="s">
        <v>105</v>
      </c>
      <c r="H59" s="7"/>
      <c r="I59" s="9">
        <f t="shared" si="14"/>
        <v>0</v>
      </c>
      <c r="J59" s="9">
        <f t="shared" si="15"/>
        <v>0</v>
      </c>
      <c r="K59" s="9">
        <f t="shared" si="16"/>
        <v>-59.090000152587891</v>
      </c>
      <c r="L59" s="8">
        <f t="shared" si="17"/>
        <v>-59.090000152587891</v>
      </c>
      <c r="M59" s="8">
        <f t="shared" si="18"/>
        <v>0</v>
      </c>
      <c r="N59" s="8">
        <f t="shared" si="19"/>
        <v>0</v>
      </c>
      <c r="P59" s="8">
        <f t="shared" si="20"/>
        <v>-59.090000152587891</v>
      </c>
      <c r="Q59" s="8">
        <f t="shared" si="22"/>
        <v>-59.090000152587891</v>
      </c>
      <c r="R59" s="8">
        <f t="shared" si="21"/>
        <v>1258</v>
      </c>
      <c r="S59" s="8">
        <f t="shared" si="9"/>
        <v>1070</v>
      </c>
      <c r="T59" s="8">
        <f t="shared" si="24"/>
        <v>-2519.3900117874146</v>
      </c>
      <c r="U59" s="9">
        <f t="shared" si="10"/>
        <v>2519.3900117874146</v>
      </c>
      <c r="V59" s="9">
        <f t="shared" si="11"/>
        <v>0</v>
      </c>
      <c r="W59" s="9">
        <f t="shared" si="13"/>
        <v>3792.7300567626953</v>
      </c>
    </row>
    <row r="60" spans="1:23" x14ac:dyDescent="0.2">
      <c r="A60" s="47">
        <v>45811</v>
      </c>
      <c r="B60" s="48" t="s">
        <v>376</v>
      </c>
      <c r="C60" s="44">
        <v>-5.5900001525878906</v>
      </c>
      <c r="D60" s="48" t="s">
        <v>232</v>
      </c>
      <c r="E60" s="48" t="s">
        <v>174</v>
      </c>
      <c r="F60" s="48" t="s">
        <v>103</v>
      </c>
      <c r="G60" s="49" t="s">
        <v>104</v>
      </c>
      <c r="H60" s="7"/>
      <c r="I60" s="9">
        <f t="shared" si="14"/>
        <v>-5.5900001525878906</v>
      </c>
      <c r="J60" s="9">
        <f t="shared" si="15"/>
        <v>-5.5900001525878906</v>
      </c>
      <c r="K60" s="9">
        <f t="shared" si="16"/>
        <v>0</v>
      </c>
      <c r="L60" s="8">
        <f t="shared" si="17"/>
        <v>0</v>
      </c>
      <c r="M60" s="8">
        <f t="shared" si="18"/>
        <v>0</v>
      </c>
      <c r="N60" s="8">
        <f t="shared" si="19"/>
        <v>0</v>
      </c>
      <c r="P60" s="8">
        <f t="shared" si="20"/>
        <v>-5.5900001525878906</v>
      </c>
      <c r="Q60" s="8">
        <f t="shared" si="22"/>
        <v>-5.5900001525878906</v>
      </c>
      <c r="R60" s="8">
        <f t="shared" si="21"/>
        <v>1259</v>
      </c>
      <c r="S60" s="8">
        <f t="shared" si="9"/>
        <v>1071</v>
      </c>
      <c r="T60" s="8">
        <f t="shared" si="24"/>
        <v>-2524.9800119400024</v>
      </c>
      <c r="U60" s="9">
        <f t="shared" si="10"/>
        <v>2524.9800119400024</v>
      </c>
      <c r="V60" s="9">
        <f t="shared" si="11"/>
        <v>0</v>
      </c>
      <c r="W60" s="9">
        <f t="shared" si="13"/>
        <v>3792.7300567626953</v>
      </c>
    </row>
    <row r="61" spans="1:23" x14ac:dyDescent="0.2">
      <c r="A61" s="50">
        <v>45811</v>
      </c>
      <c r="B61" s="51" t="s">
        <v>377</v>
      </c>
      <c r="C61" s="45">
        <v>-13.920000076293945</v>
      </c>
      <c r="D61" s="51" t="s">
        <v>226</v>
      </c>
      <c r="E61" s="51" t="s">
        <v>174</v>
      </c>
      <c r="F61" s="51" t="s">
        <v>174</v>
      </c>
      <c r="G61" s="52" t="s">
        <v>104</v>
      </c>
      <c r="H61" s="7"/>
      <c r="I61" s="9">
        <f t="shared" si="14"/>
        <v>0</v>
      </c>
      <c r="J61" s="9">
        <f t="shared" si="15"/>
        <v>-13.920000076293945</v>
      </c>
      <c r="K61" s="9">
        <f t="shared" si="16"/>
        <v>0</v>
      </c>
      <c r="L61" s="8">
        <f t="shared" si="17"/>
        <v>-13.920000076293945</v>
      </c>
      <c r="M61" s="8">
        <f t="shared" si="18"/>
        <v>0</v>
      </c>
      <c r="N61" s="8">
        <f t="shared" si="19"/>
        <v>0</v>
      </c>
      <c r="P61" s="8">
        <f t="shared" si="20"/>
        <v>-13.920000076293945</v>
      </c>
      <c r="Q61" s="8">
        <f t="shared" si="22"/>
        <v>-13.920000076293945</v>
      </c>
      <c r="R61" s="8">
        <f t="shared" si="21"/>
        <v>1259</v>
      </c>
      <c r="S61" s="8">
        <f t="shared" si="9"/>
        <v>1071</v>
      </c>
      <c r="T61" s="8">
        <f t="shared" si="24"/>
        <v>-2538.9000120162964</v>
      </c>
      <c r="U61" s="9">
        <f t="shared" si="10"/>
        <v>2538.9000120162964</v>
      </c>
      <c r="V61" s="9">
        <f t="shared" si="11"/>
        <v>0</v>
      </c>
      <c r="W61" s="9">
        <f t="shared" si="13"/>
        <v>3792.7300567626953</v>
      </c>
    </row>
    <row r="62" spans="1:23" x14ac:dyDescent="0.2">
      <c r="A62" s="47">
        <v>45811</v>
      </c>
      <c r="B62" s="48" t="s">
        <v>378</v>
      </c>
      <c r="C62" s="44">
        <v>-359.22000122070312</v>
      </c>
      <c r="D62" s="48" t="s">
        <v>218</v>
      </c>
      <c r="E62" s="48" t="s">
        <v>174</v>
      </c>
      <c r="F62" s="48" t="s">
        <v>174</v>
      </c>
      <c r="G62" s="49" t="s">
        <v>104</v>
      </c>
      <c r="H62" s="7"/>
      <c r="I62" s="9">
        <f t="shared" si="14"/>
        <v>0</v>
      </c>
      <c r="J62" s="9">
        <f t="shared" si="15"/>
        <v>-359.22000122070312</v>
      </c>
      <c r="K62" s="9">
        <f t="shared" si="16"/>
        <v>0</v>
      </c>
      <c r="L62" s="8">
        <f t="shared" si="17"/>
        <v>-359.22000122070312</v>
      </c>
      <c r="M62" s="8">
        <f t="shared" si="18"/>
        <v>0</v>
      </c>
      <c r="N62" s="8">
        <f t="shared" si="19"/>
        <v>0</v>
      </c>
      <c r="P62" s="8">
        <f t="shared" si="20"/>
        <v>-359.22000122070312</v>
      </c>
      <c r="Q62" s="8">
        <f t="shared" si="22"/>
        <v>-359.22000122070312</v>
      </c>
      <c r="R62" s="8">
        <f t="shared" si="21"/>
        <v>1259</v>
      </c>
      <c r="S62" s="8">
        <f t="shared" si="9"/>
        <v>1071</v>
      </c>
      <c r="T62" s="8">
        <f t="shared" si="24"/>
        <v>-2898.1200132369995</v>
      </c>
      <c r="U62" s="9">
        <f t="shared" si="10"/>
        <v>2898.1200132369995</v>
      </c>
      <c r="V62" s="9">
        <f t="shared" si="11"/>
        <v>0</v>
      </c>
      <c r="W62" s="9">
        <f t="shared" si="13"/>
        <v>3792.7300567626953</v>
      </c>
    </row>
    <row r="63" spans="1:23" x14ac:dyDescent="0.2">
      <c r="A63" s="50">
        <v>45811</v>
      </c>
      <c r="B63" s="51" t="s">
        <v>224</v>
      </c>
      <c r="C63" s="45">
        <v>-40</v>
      </c>
      <c r="D63" s="51" t="s">
        <v>225</v>
      </c>
      <c r="E63" s="51" t="s">
        <v>174</v>
      </c>
      <c r="F63" s="51" t="s">
        <v>174</v>
      </c>
      <c r="G63" s="52" t="s">
        <v>105</v>
      </c>
      <c r="H63" s="7"/>
      <c r="I63" s="9">
        <f t="shared" si="14"/>
        <v>0</v>
      </c>
      <c r="J63" s="9">
        <f t="shared" si="15"/>
        <v>0</v>
      </c>
      <c r="K63" s="9">
        <f t="shared" si="16"/>
        <v>-40</v>
      </c>
      <c r="L63" s="8">
        <f t="shared" si="17"/>
        <v>-40</v>
      </c>
      <c r="M63" s="8">
        <f t="shared" si="18"/>
        <v>0</v>
      </c>
      <c r="N63" s="8">
        <f t="shared" si="19"/>
        <v>0</v>
      </c>
      <c r="P63" s="8">
        <f t="shared" si="20"/>
        <v>-40</v>
      </c>
      <c r="Q63" s="8">
        <f t="shared" si="22"/>
        <v>-40</v>
      </c>
      <c r="R63" s="8">
        <f t="shared" si="21"/>
        <v>1259</v>
      </c>
      <c r="S63" s="8">
        <f t="shared" si="9"/>
        <v>1071</v>
      </c>
      <c r="T63" s="8">
        <f t="shared" si="24"/>
        <v>-2938.1200132369995</v>
      </c>
      <c r="U63" s="9">
        <f t="shared" si="10"/>
        <v>2938.1200132369995</v>
      </c>
      <c r="V63" s="9">
        <f t="shared" si="11"/>
        <v>0</v>
      </c>
      <c r="W63" s="9">
        <f t="shared" si="13"/>
        <v>3792.7300567626953</v>
      </c>
    </row>
    <row r="64" spans="1:23" x14ac:dyDescent="0.2">
      <c r="A64" s="47">
        <v>45812</v>
      </c>
      <c r="B64" s="48" t="s">
        <v>139</v>
      </c>
      <c r="C64" s="44">
        <v>-3.3900001049041748</v>
      </c>
      <c r="D64" s="48" t="s">
        <v>206</v>
      </c>
      <c r="E64" s="48" t="s">
        <v>174</v>
      </c>
      <c r="F64" s="48" t="s">
        <v>174</v>
      </c>
      <c r="G64" s="49" t="s">
        <v>104</v>
      </c>
      <c r="H64" s="7"/>
      <c r="I64" s="9">
        <f t="shared" si="14"/>
        <v>0</v>
      </c>
      <c r="J64" s="9">
        <f t="shared" si="15"/>
        <v>-3.3900001049041748</v>
      </c>
      <c r="K64" s="9">
        <f t="shared" si="16"/>
        <v>0</v>
      </c>
      <c r="L64" s="8">
        <f t="shared" si="17"/>
        <v>-3.3900001049041748</v>
      </c>
      <c r="M64" s="8">
        <f t="shared" si="18"/>
        <v>0</v>
      </c>
      <c r="N64" s="8">
        <f t="shared" si="19"/>
        <v>0</v>
      </c>
      <c r="P64" s="8">
        <f t="shared" si="20"/>
        <v>-3.3900001049041748</v>
      </c>
      <c r="Q64" s="8">
        <f t="shared" si="22"/>
        <v>-3.3900001049041748</v>
      </c>
      <c r="R64" s="8">
        <f t="shared" si="21"/>
        <v>1260</v>
      </c>
      <c r="S64" s="8">
        <f t="shared" si="9"/>
        <v>1072</v>
      </c>
      <c r="T64" s="8">
        <f t="shared" si="24"/>
        <v>-2941.5100133419037</v>
      </c>
      <c r="U64" s="9">
        <f t="shared" si="10"/>
        <v>2941.5100133419037</v>
      </c>
      <c r="V64" s="9">
        <f t="shared" si="11"/>
        <v>0</v>
      </c>
      <c r="W64" s="9">
        <f t="shared" si="13"/>
        <v>3792.7300567626953</v>
      </c>
    </row>
    <row r="65" spans="1:23" x14ac:dyDescent="0.2">
      <c r="A65" s="50">
        <v>45812</v>
      </c>
      <c r="B65" s="51" t="s">
        <v>138</v>
      </c>
      <c r="C65" s="45">
        <v>-121.73999786376953</v>
      </c>
      <c r="D65" s="51" t="s">
        <v>206</v>
      </c>
      <c r="E65" s="51" t="s">
        <v>174</v>
      </c>
      <c r="F65" s="51" t="s">
        <v>174</v>
      </c>
      <c r="G65" s="52" t="s">
        <v>104</v>
      </c>
      <c r="H65" s="7"/>
      <c r="I65" s="9">
        <f t="shared" si="14"/>
        <v>0</v>
      </c>
      <c r="J65" s="9">
        <f t="shared" si="15"/>
        <v>-121.73999786376953</v>
      </c>
      <c r="K65" s="9">
        <f t="shared" si="16"/>
        <v>0</v>
      </c>
      <c r="L65" s="8">
        <f t="shared" si="17"/>
        <v>-121.73999786376953</v>
      </c>
      <c r="M65" s="8">
        <f t="shared" si="18"/>
        <v>0</v>
      </c>
      <c r="N65" s="8">
        <f t="shared" si="19"/>
        <v>0</v>
      </c>
      <c r="P65" s="8">
        <f t="shared" si="20"/>
        <v>-121.73999786376953</v>
      </c>
      <c r="Q65" s="8">
        <f t="shared" si="22"/>
        <v>-121.73999786376953</v>
      </c>
      <c r="R65" s="8">
        <f t="shared" si="21"/>
        <v>1260</v>
      </c>
      <c r="S65" s="8">
        <f t="shared" si="9"/>
        <v>1072</v>
      </c>
      <c r="T65" s="8">
        <f t="shared" si="24"/>
        <v>-3063.2500112056732</v>
      </c>
      <c r="U65" s="9">
        <f t="shared" si="10"/>
        <v>3063.2500112056732</v>
      </c>
      <c r="V65" s="9">
        <f t="shared" si="11"/>
        <v>0</v>
      </c>
      <c r="W65" s="9">
        <f t="shared" si="13"/>
        <v>3792.7300567626953</v>
      </c>
    </row>
    <row r="66" spans="1:23" x14ac:dyDescent="0.2">
      <c r="A66" s="47">
        <v>45813</v>
      </c>
      <c r="B66" s="48" t="s">
        <v>379</v>
      </c>
      <c r="C66" s="44">
        <v>-3.0899999141693115</v>
      </c>
      <c r="D66" s="48" t="s">
        <v>206</v>
      </c>
      <c r="E66" s="48" t="s">
        <v>174</v>
      </c>
      <c r="F66" s="48" t="s">
        <v>174</v>
      </c>
      <c r="G66" s="49" t="s">
        <v>104</v>
      </c>
      <c r="H66" s="7"/>
      <c r="I66" s="9">
        <f t="shared" ref="I66:I91" si="25">IF(EXACT(F66,"M"),C66,0)</f>
        <v>0</v>
      </c>
      <c r="J66" s="9">
        <f t="shared" ref="J66:J91" si="26">IF(EXACT(G66,"CheckingStarOneTXs"),C66,0)</f>
        <v>-3.0899999141693115</v>
      </c>
      <c r="K66" s="9">
        <f t="shared" ref="K66:K91" si="27">IF(AND(C66&lt;0,EXACT(G66,"VisaChaseTXs")),C66,0)</f>
        <v>0</v>
      </c>
      <c r="L66" s="8">
        <f t="shared" ref="L66:L91" si="28">IF(AND(AND(F66="",C66&lt;0),E66=""),C66,0)</f>
        <v>-3.0899999141693115</v>
      </c>
      <c r="M66" s="8">
        <f t="shared" ref="M66:M91" si="29">IF(F66="T",C66,0)</f>
        <v>0</v>
      </c>
      <c r="N66" s="8">
        <f t="shared" ref="N66:N91" si="30">IF(D66="Transfer Savings",C66,0)</f>
        <v>0</v>
      </c>
      <c r="P66" s="8">
        <f t="shared" ref="P66:P91" si="31">IF(AND(IF(C66&lt;0,C66,FALSE),E66&lt;&gt;"y"),C66,0)</f>
        <v>-3.0899999141693115</v>
      </c>
      <c r="Q66" s="8">
        <f t="shared" si="22"/>
        <v>-3.0899999141693115</v>
      </c>
      <c r="R66" s="8">
        <f>IF(ISBLANK(A66),"",ABS($AB$1-(A66+10)))</f>
        <v>1261</v>
      </c>
      <c r="S66" s="8">
        <f t="shared" si="9"/>
        <v>1073</v>
      </c>
      <c r="T66" s="8">
        <f t="shared" si="24"/>
        <v>-3066.3400111198425</v>
      </c>
      <c r="U66" s="9">
        <f t="shared" si="10"/>
        <v>3066.3400111198425</v>
      </c>
      <c r="V66" s="9">
        <f t="shared" si="11"/>
        <v>0</v>
      </c>
      <c r="W66" s="9">
        <f t="shared" si="13"/>
        <v>3792.7300567626953</v>
      </c>
    </row>
    <row r="67" spans="1:23" x14ac:dyDescent="0.2">
      <c r="A67" s="50">
        <v>45813</v>
      </c>
      <c r="B67" s="51" t="s">
        <v>139</v>
      </c>
      <c r="C67" s="45">
        <v>-3.4900000095367432</v>
      </c>
      <c r="D67" s="51" t="s">
        <v>206</v>
      </c>
      <c r="E67" s="51" t="s">
        <v>174</v>
      </c>
      <c r="F67" s="51" t="s">
        <v>174</v>
      </c>
      <c r="G67" s="52" t="s">
        <v>104</v>
      </c>
      <c r="H67" s="7"/>
      <c r="I67" s="9">
        <f t="shared" si="25"/>
        <v>0</v>
      </c>
      <c r="J67" s="9">
        <f t="shared" si="26"/>
        <v>-3.4900000095367432</v>
      </c>
      <c r="K67" s="9">
        <f t="shared" si="27"/>
        <v>0</v>
      </c>
      <c r="L67" s="8">
        <f t="shared" si="28"/>
        <v>-3.4900000095367432</v>
      </c>
      <c r="M67" s="8">
        <f t="shared" si="29"/>
        <v>0</v>
      </c>
      <c r="N67" s="8">
        <f t="shared" si="30"/>
        <v>0</v>
      </c>
      <c r="P67" s="8">
        <f t="shared" si="31"/>
        <v>-3.4900000095367432</v>
      </c>
      <c r="Q67" s="8">
        <f t="shared" si="22"/>
        <v>-3.4900000095367432</v>
      </c>
      <c r="R67" s="8">
        <f>IF(ISBLANK(A67),"",ABS($AB$1-(A67+10)))</f>
        <v>1261</v>
      </c>
      <c r="S67" s="8">
        <f>IF(ISBLANK(A67),"",ABS($AB$2-(A67+$AA$5)))</f>
        <v>1073</v>
      </c>
      <c r="T67" s="8">
        <f t="shared" si="24"/>
        <v>-3069.8300111293793</v>
      </c>
      <c r="U67" s="9">
        <f t="shared" ref="U67:U91" si="32">IF(S67="","",ABS(T67))</f>
        <v>3069.8300111293793</v>
      </c>
      <c r="V67" s="9">
        <f t="shared" ref="V67:V91" si="33">IF(C67&gt;0,C67,0)</f>
        <v>0</v>
      </c>
      <c r="W67" s="9">
        <f t="shared" si="13"/>
        <v>3792.7300567626953</v>
      </c>
    </row>
    <row r="68" spans="1:23" x14ac:dyDescent="0.2">
      <c r="A68" s="47">
        <v>45813</v>
      </c>
      <c r="B68" s="48" t="s">
        <v>116</v>
      </c>
      <c r="C68" s="44">
        <v>-18.989999771118164</v>
      </c>
      <c r="D68" s="48" t="s">
        <v>211</v>
      </c>
      <c r="E68" s="48" t="s">
        <v>174</v>
      </c>
      <c r="F68" s="48" t="s">
        <v>103</v>
      </c>
      <c r="G68" s="49" t="s">
        <v>105</v>
      </c>
      <c r="H68" s="7"/>
      <c r="I68" s="9">
        <f t="shared" si="25"/>
        <v>-18.989999771118164</v>
      </c>
      <c r="J68" s="9">
        <f t="shared" si="26"/>
        <v>0</v>
      </c>
      <c r="K68" s="9">
        <f t="shared" si="27"/>
        <v>-18.989999771118164</v>
      </c>
      <c r="L68" s="8">
        <f t="shared" si="28"/>
        <v>0</v>
      </c>
      <c r="M68" s="8">
        <f t="shared" si="29"/>
        <v>0</v>
      </c>
      <c r="N68" s="8">
        <f t="shared" si="30"/>
        <v>0</v>
      </c>
      <c r="P68" s="8">
        <f t="shared" si="31"/>
        <v>-18.989999771118164</v>
      </c>
      <c r="Q68" s="8">
        <f t="shared" si="22"/>
        <v>-18.989999771118164</v>
      </c>
      <c r="R68" s="8">
        <f>IF(ISBLANK(A68),"",ABS($AB$1-(A68+10)))</f>
        <v>1261</v>
      </c>
      <c r="S68" s="8">
        <f>IF(ISBLANK(A68),"",ABS($AB$2-(A68+$AA$5)))</f>
        <v>1073</v>
      </c>
      <c r="T68" s="8">
        <f t="shared" si="24"/>
        <v>-3088.8200109004974</v>
      </c>
      <c r="U68" s="9">
        <f t="shared" si="32"/>
        <v>3088.8200109004974</v>
      </c>
      <c r="V68" s="9">
        <f t="shared" si="33"/>
        <v>0</v>
      </c>
      <c r="W68" s="9">
        <f t="shared" ref="W68:W131" si="34">W67+V68</f>
        <v>3792.7300567626953</v>
      </c>
    </row>
    <row r="69" spans="1:23" x14ac:dyDescent="0.2">
      <c r="A69" s="50">
        <v>45813</v>
      </c>
      <c r="B69" s="51" t="s">
        <v>273</v>
      </c>
      <c r="C69" s="45">
        <v>-40</v>
      </c>
      <c r="D69" s="51" t="s">
        <v>235</v>
      </c>
      <c r="E69" s="51" t="s">
        <v>174</v>
      </c>
      <c r="F69" s="51" t="s">
        <v>174</v>
      </c>
      <c r="G69" s="52" t="s">
        <v>104</v>
      </c>
      <c r="H69" s="7"/>
      <c r="I69" s="9">
        <f t="shared" si="25"/>
        <v>0</v>
      </c>
      <c r="J69" s="9">
        <f t="shared" si="26"/>
        <v>-40</v>
      </c>
      <c r="K69" s="9">
        <f t="shared" si="27"/>
        <v>0</v>
      </c>
      <c r="L69" s="8">
        <f t="shared" si="28"/>
        <v>-40</v>
      </c>
      <c r="M69" s="8">
        <f t="shared" si="29"/>
        <v>0</v>
      </c>
      <c r="N69" s="8">
        <f t="shared" si="30"/>
        <v>0</v>
      </c>
      <c r="P69" s="8">
        <f t="shared" si="31"/>
        <v>-40</v>
      </c>
      <c r="Q69" s="8">
        <f t="shared" si="22"/>
        <v>-40</v>
      </c>
      <c r="R69" s="8">
        <f>IF(ISBLANK(A69),"",ABS($AB$1-(A69+10)))</f>
        <v>1261</v>
      </c>
      <c r="S69" s="8">
        <f>IF(ISBLANK(A69),"",ABS($AB$2-(A69+$AA$5)))</f>
        <v>1073</v>
      </c>
      <c r="T69" s="8">
        <f t="shared" si="24"/>
        <v>-3128.8200109004974</v>
      </c>
      <c r="U69" s="9">
        <f t="shared" si="32"/>
        <v>3128.8200109004974</v>
      </c>
      <c r="V69" s="9">
        <f t="shared" si="33"/>
        <v>0</v>
      </c>
      <c r="W69" s="9">
        <f t="shared" si="34"/>
        <v>3792.7300567626953</v>
      </c>
    </row>
    <row r="70" spans="1:23" x14ac:dyDescent="0.2">
      <c r="A70" s="47">
        <v>45814</v>
      </c>
      <c r="B70" s="48" t="s">
        <v>139</v>
      </c>
      <c r="C70" s="44">
        <v>-3.4900000095367432</v>
      </c>
      <c r="D70" s="48" t="s">
        <v>206</v>
      </c>
      <c r="E70" s="48" t="s">
        <v>174</v>
      </c>
      <c r="F70" s="48" t="s">
        <v>174</v>
      </c>
      <c r="G70" s="49" t="s">
        <v>104</v>
      </c>
      <c r="H70" s="7"/>
      <c r="I70" s="9">
        <f t="shared" si="25"/>
        <v>0</v>
      </c>
      <c r="J70" s="9">
        <f t="shared" si="26"/>
        <v>-3.4900000095367432</v>
      </c>
      <c r="K70" s="9">
        <f t="shared" si="27"/>
        <v>0</v>
      </c>
      <c r="L70" s="8">
        <f t="shared" si="28"/>
        <v>-3.4900000095367432</v>
      </c>
      <c r="M70" s="8">
        <f t="shared" si="29"/>
        <v>0</v>
      </c>
      <c r="N70" s="8">
        <f t="shared" si="30"/>
        <v>0</v>
      </c>
      <c r="P70" s="8">
        <f t="shared" si="31"/>
        <v>-3.4900000095367432</v>
      </c>
      <c r="Q70" s="8">
        <f t="shared" si="22"/>
        <v>-3.4900000095367432</v>
      </c>
      <c r="R70" s="8">
        <f>IF(ISBLANK(A70),"",ABS($AB$1-(A70+10)))</f>
        <v>1262</v>
      </c>
      <c r="S70" s="8">
        <f>IF(ISBLANK(A70),"",ABS($AB$2-(A70+$AA$5)))</f>
        <v>1074</v>
      </c>
      <c r="T70" s="8">
        <f t="shared" si="24"/>
        <v>-3132.3100109100342</v>
      </c>
      <c r="U70" s="9">
        <f t="shared" si="32"/>
        <v>3132.3100109100342</v>
      </c>
      <c r="V70" s="9">
        <f t="shared" si="33"/>
        <v>0</v>
      </c>
      <c r="W70" s="9">
        <f t="shared" si="34"/>
        <v>3792.7300567626953</v>
      </c>
    </row>
    <row r="71" spans="1:23" x14ac:dyDescent="0.2">
      <c r="A71" s="50">
        <v>45815</v>
      </c>
      <c r="B71" s="51" t="s">
        <v>380</v>
      </c>
      <c r="C71" s="45">
        <v>-12</v>
      </c>
      <c r="D71" s="51" t="s">
        <v>205</v>
      </c>
      <c r="E71" s="51" t="s">
        <v>174</v>
      </c>
      <c r="F71" s="51" t="s">
        <v>174</v>
      </c>
      <c r="G71" s="52" t="s">
        <v>104</v>
      </c>
      <c r="H71" s="7"/>
      <c r="I71" s="9">
        <f t="shared" si="25"/>
        <v>0</v>
      </c>
      <c r="J71" s="9">
        <f t="shared" si="26"/>
        <v>-12</v>
      </c>
      <c r="K71" s="9">
        <f t="shared" si="27"/>
        <v>0</v>
      </c>
      <c r="L71" s="8">
        <f t="shared" si="28"/>
        <v>-12</v>
      </c>
      <c r="M71" s="8">
        <f t="shared" si="29"/>
        <v>0</v>
      </c>
      <c r="N71" s="8">
        <f t="shared" si="30"/>
        <v>0</v>
      </c>
      <c r="P71" s="8">
        <f t="shared" si="31"/>
        <v>-12</v>
      </c>
      <c r="Q71" s="8">
        <f t="shared" si="22"/>
        <v>-12</v>
      </c>
      <c r="R71" s="8">
        <f>IF(ISBLANK(A71),"",ABS($AB$1-(A71+10)))</f>
        <v>1263</v>
      </c>
      <c r="S71" s="8">
        <f>IF(ISBLANK(A71),"",ABS($AB$2-(A71+$AA$5)))</f>
        <v>1075</v>
      </c>
      <c r="T71" s="8">
        <f t="shared" si="24"/>
        <v>-3144.3100109100342</v>
      </c>
      <c r="U71" s="9">
        <f t="shared" si="32"/>
        <v>3144.3100109100342</v>
      </c>
      <c r="V71" s="9">
        <f t="shared" si="33"/>
        <v>0</v>
      </c>
      <c r="W71" s="9">
        <f t="shared" si="34"/>
        <v>3792.7300567626953</v>
      </c>
    </row>
    <row r="72" spans="1:23" x14ac:dyDescent="0.2">
      <c r="A72" s="47">
        <v>45815</v>
      </c>
      <c r="B72" s="48" t="s">
        <v>381</v>
      </c>
      <c r="C72" s="44">
        <v>-10</v>
      </c>
      <c r="D72" s="48" t="s">
        <v>226</v>
      </c>
      <c r="E72" s="48" t="s">
        <v>174</v>
      </c>
      <c r="F72" s="48" t="s">
        <v>174</v>
      </c>
      <c r="G72" s="49" t="s">
        <v>105</v>
      </c>
      <c r="H72" s="7"/>
      <c r="I72" s="9">
        <f t="shared" si="25"/>
        <v>0</v>
      </c>
      <c r="J72" s="9">
        <f t="shared" si="26"/>
        <v>0</v>
      </c>
      <c r="K72" s="9">
        <f t="shared" si="27"/>
        <v>-10</v>
      </c>
      <c r="L72" s="8">
        <f t="shared" si="28"/>
        <v>-10</v>
      </c>
      <c r="M72" s="8">
        <f t="shared" si="29"/>
        <v>0</v>
      </c>
      <c r="N72" s="8">
        <f t="shared" si="30"/>
        <v>0</v>
      </c>
      <c r="P72" s="8">
        <f t="shared" si="31"/>
        <v>-10</v>
      </c>
      <c r="Q72" s="8">
        <f t="shared" si="22"/>
        <v>-10</v>
      </c>
      <c r="R72" s="8">
        <f>IF(ISBLANK(A72),"",ABS($AB$1-(A72+10)))</f>
        <v>1263</v>
      </c>
      <c r="S72" s="8">
        <f>IF(ISBLANK(A72),"",ABS($AB$2-(A72+$AA$5)))</f>
        <v>1075</v>
      </c>
      <c r="T72" s="8">
        <f t="shared" si="24"/>
        <v>-3154.3100109100342</v>
      </c>
      <c r="U72" s="9">
        <f t="shared" si="32"/>
        <v>3154.3100109100342</v>
      </c>
      <c r="V72" s="9">
        <f t="shared" si="33"/>
        <v>0</v>
      </c>
      <c r="W72" s="9">
        <f t="shared" si="34"/>
        <v>3792.7300567626953</v>
      </c>
    </row>
    <row r="73" spans="1:23" x14ac:dyDescent="0.2">
      <c r="A73" s="50">
        <v>45815</v>
      </c>
      <c r="B73" s="51" t="s">
        <v>381</v>
      </c>
      <c r="C73" s="45">
        <v>-5</v>
      </c>
      <c r="D73" s="51" t="s">
        <v>226</v>
      </c>
      <c r="E73" s="51" t="s">
        <v>174</v>
      </c>
      <c r="F73" s="51" t="s">
        <v>174</v>
      </c>
      <c r="G73" s="52" t="s">
        <v>105</v>
      </c>
      <c r="H73" s="7"/>
      <c r="I73" s="9">
        <f t="shared" si="25"/>
        <v>0</v>
      </c>
      <c r="J73" s="9">
        <f t="shared" si="26"/>
        <v>0</v>
      </c>
      <c r="K73" s="9">
        <f t="shared" si="27"/>
        <v>-5</v>
      </c>
      <c r="L73" s="8">
        <f t="shared" si="28"/>
        <v>-5</v>
      </c>
      <c r="M73" s="8">
        <f t="shared" si="29"/>
        <v>0</v>
      </c>
      <c r="N73" s="8">
        <f t="shared" si="30"/>
        <v>0</v>
      </c>
      <c r="P73" s="8">
        <f t="shared" si="31"/>
        <v>-5</v>
      </c>
      <c r="Q73" s="8">
        <f t="shared" si="22"/>
        <v>-5</v>
      </c>
      <c r="R73" s="8">
        <f>IF(ISBLANK(A73),"",ABS($AB$1-(A73+10)))</f>
        <v>1263</v>
      </c>
      <c r="S73" s="8">
        <f>IF(ISBLANK(A73),"",ABS($AB$2-(A73+$AA$5)))</f>
        <v>1075</v>
      </c>
      <c r="T73" s="8">
        <f t="shared" si="24"/>
        <v>-3159.3100109100342</v>
      </c>
      <c r="U73" s="9">
        <f t="shared" si="32"/>
        <v>3159.3100109100342</v>
      </c>
      <c r="V73" s="9">
        <f t="shared" si="33"/>
        <v>0</v>
      </c>
      <c r="W73" s="9">
        <f t="shared" si="34"/>
        <v>3792.7300567626953</v>
      </c>
    </row>
    <row r="74" spans="1:23" x14ac:dyDescent="0.2">
      <c r="A74" s="47">
        <v>45815</v>
      </c>
      <c r="B74" s="48" t="s">
        <v>382</v>
      </c>
      <c r="C74" s="44">
        <v>-205.47999572753906</v>
      </c>
      <c r="D74" s="48" t="s">
        <v>205</v>
      </c>
      <c r="E74" s="48" t="s">
        <v>174</v>
      </c>
      <c r="F74" s="48" t="s">
        <v>174</v>
      </c>
      <c r="G74" s="49" t="s">
        <v>104</v>
      </c>
      <c r="H74" s="7"/>
      <c r="I74" s="9">
        <f t="shared" si="25"/>
        <v>0</v>
      </c>
      <c r="J74" s="9">
        <f t="shared" si="26"/>
        <v>-205.47999572753906</v>
      </c>
      <c r="K74" s="9">
        <f t="shared" si="27"/>
        <v>0</v>
      </c>
      <c r="L74" s="8">
        <f t="shared" si="28"/>
        <v>-205.47999572753906</v>
      </c>
      <c r="M74" s="8">
        <f t="shared" si="29"/>
        <v>0</v>
      </c>
      <c r="N74" s="8">
        <f t="shared" si="30"/>
        <v>0</v>
      </c>
      <c r="P74" s="8">
        <f t="shared" si="31"/>
        <v>-205.47999572753906</v>
      </c>
      <c r="Q74" s="8">
        <f t="shared" si="22"/>
        <v>-205.47999572753906</v>
      </c>
      <c r="R74" s="8">
        <f>IF(ISBLANK(A74),"",ABS($AB$1-(A74+10)))</f>
        <v>1263</v>
      </c>
      <c r="S74" s="8">
        <f>IF(ISBLANK(A74),"",ABS($AB$2-(A74+$AA$5)))</f>
        <v>1075</v>
      </c>
      <c r="T74" s="8">
        <f t="shared" si="24"/>
        <v>-3364.7900066375732</v>
      </c>
      <c r="U74" s="9">
        <f t="shared" si="32"/>
        <v>3364.7900066375732</v>
      </c>
      <c r="V74" s="9">
        <f t="shared" si="33"/>
        <v>0</v>
      </c>
      <c r="W74" s="9">
        <f t="shared" si="34"/>
        <v>3792.7300567626953</v>
      </c>
    </row>
    <row r="75" spans="1:23" x14ac:dyDescent="0.2">
      <c r="A75" s="50">
        <v>45816</v>
      </c>
      <c r="B75" s="51" t="s">
        <v>383</v>
      </c>
      <c r="C75" s="45">
        <v>-20.030000686645508</v>
      </c>
      <c r="D75" s="51" t="s">
        <v>211</v>
      </c>
      <c r="E75" s="51" t="s">
        <v>174</v>
      </c>
      <c r="F75" s="51" t="s">
        <v>174</v>
      </c>
      <c r="G75" s="52" t="s">
        <v>105</v>
      </c>
      <c r="H75" s="7"/>
      <c r="I75" s="9">
        <f t="shared" si="25"/>
        <v>0</v>
      </c>
      <c r="J75" s="9">
        <f t="shared" si="26"/>
        <v>0</v>
      </c>
      <c r="K75" s="9">
        <f t="shared" si="27"/>
        <v>-20.030000686645508</v>
      </c>
      <c r="L75" s="8">
        <f t="shared" si="28"/>
        <v>-20.030000686645508</v>
      </c>
      <c r="M75" s="8">
        <f t="shared" si="29"/>
        <v>0</v>
      </c>
      <c r="N75" s="8">
        <f t="shared" si="30"/>
        <v>0</v>
      </c>
      <c r="P75" s="8">
        <f t="shared" si="31"/>
        <v>-20.030000686645508</v>
      </c>
      <c r="Q75" s="8">
        <f t="shared" si="22"/>
        <v>-20.030000686645508</v>
      </c>
      <c r="R75" s="8">
        <f>IF(ISBLANK(A75),"",ABS($AB$1-(A75+10)))</f>
        <v>1264</v>
      </c>
      <c r="S75" s="8">
        <f>IF(ISBLANK(A75),"",ABS($AB$2-(A75+$AA$5)))</f>
        <v>1076</v>
      </c>
      <c r="T75" s="8">
        <f t="shared" si="24"/>
        <v>-3384.8200073242188</v>
      </c>
      <c r="U75" s="9">
        <f t="shared" si="32"/>
        <v>3384.8200073242188</v>
      </c>
      <c r="V75" s="9">
        <f t="shared" si="33"/>
        <v>0</v>
      </c>
      <c r="W75" s="9">
        <f t="shared" si="34"/>
        <v>3792.7300567626953</v>
      </c>
    </row>
    <row r="76" spans="1:23" x14ac:dyDescent="0.2">
      <c r="A76" s="47">
        <v>45816</v>
      </c>
      <c r="B76" s="48" t="s">
        <v>384</v>
      </c>
      <c r="C76" s="44">
        <v>-5</v>
      </c>
      <c r="D76" s="48" t="s">
        <v>211</v>
      </c>
      <c r="E76" s="48" t="s">
        <v>174</v>
      </c>
      <c r="F76" s="48" t="s">
        <v>174</v>
      </c>
      <c r="G76" s="49" t="s">
        <v>105</v>
      </c>
      <c r="H76" s="7"/>
      <c r="I76" s="9">
        <f t="shared" si="25"/>
        <v>0</v>
      </c>
      <c r="J76" s="9">
        <f t="shared" si="26"/>
        <v>0</v>
      </c>
      <c r="K76" s="9">
        <f t="shared" si="27"/>
        <v>-5</v>
      </c>
      <c r="L76" s="8">
        <f t="shared" si="28"/>
        <v>-5</v>
      </c>
      <c r="M76" s="8">
        <f t="shared" si="29"/>
        <v>0</v>
      </c>
      <c r="N76" s="8">
        <f t="shared" si="30"/>
        <v>0</v>
      </c>
      <c r="P76" s="8">
        <f t="shared" si="31"/>
        <v>-5</v>
      </c>
      <c r="Q76" s="8">
        <f t="shared" si="22"/>
        <v>-5</v>
      </c>
      <c r="R76" s="8">
        <f>IF(ISBLANK(A76),"",ABS($AB$1-(A76+10)))</f>
        <v>1264</v>
      </c>
      <c r="S76" s="8">
        <f>IF(ISBLANK(A76),"",ABS($AB$2-(A76+$AA$5)))</f>
        <v>1076</v>
      </c>
      <c r="T76" s="8">
        <f t="shared" si="24"/>
        <v>-3389.8200073242188</v>
      </c>
      <c r="U76" s="9">
        <f t="shared" si="32"/>
        <v>3389.8200073242188</v>
      </c>
      <c r="V76" s="9">
        <f t="shared" si="33"/>
        <v>0</v>
      </c>
      <c r="W76" s="9">
        <f t="shared" si="34"/>
        <v>3792.7300567626953</v>
      </c>
    </row>
    <row r="77" spans="1:23" x14ac:dyDescent="0.2">
      <c r="A77" s="50">
        <v>45817</v>
      </c>
      <c r="B77" s="51" t="s">
        <v>139</v>
      </c>
      <c r="C77" s="45">
        <v>-4.2800002098083496</v>
      </c>
      <c r="D77" s="51" t="s">
        <v>206</v>
      </c>
      <c r="E77" s="51" t="s">
        <v>174</v>
      </c>
      <c r="F77" s="51" t="s">
        <v>174</v>
      </c>
      <c r="G77" s="52" t="s">
        <v>104</v>
      </c>
      <c r="H77" s="7"/>
      <c r="I77" s="9">
        <f t="shared" si="25"/>
        <v>0</v>
      </c>
      <c r="J77" s="9">
        <f t="shared" si="26"/>
        <v>-4.2800002098083496</v>
      </c>
      <c r="K77" s="9">
        <f t="shared" si="27"/>
        <v>0</v>
      </c>
      <c r="L77" s="8">
        <f t="shared" si="28"/>
        <v>-4.2800002098083496</v>
      </c>
      <c r="M77" s="8">
        <f t="shared" si="29"/>
        <v>0</v>
      </c>
      <c r="N77" s="8">
        <f t="shared" si="30"/>
        <v>0</v>
      </c>
      <c r="P77" s="8">
        <f t="shared" si="31"/>
        <v>-4.2800002098083496</v>
      </c>
      <c r="Q77" s="8">
        <f t="shared" si="22"/>
        <v>-4.2800002098083496</v>
      </c>
      <c r="R77" s="8">
        <f>IF(ISBLANK(A77),"",ABS($AB$1-(A77+10)))</f>
        <v>1265</v>
      </c>
      <c r="S77" s="8">
        <f>IF(ISBLANK(A77),"",ABS($AB$2-(A77+$AA$5)))</f>
        <v>1077</v>
      </c>
      <c r="T77" s="8">
        <f t="shared" si="24"/>
        <v>-3394.1000075340271</v>
      </c>
      <c r="U77" s="9">
        <f t="shared" si="32"/>
        <v>3394.1000075340271</v>
      </c>
      <c r="V77" s="9">
        <f t="shared" si="33"/>
        <v>0</v>
      </c>
      <c r="W77" s="9">
        <f t="shared" si="34"/>
        <v>3792.7300567626953</v>
      </c>
    </row>
    <row r="78" spans="1:23" x14ac:dyDescent="0.2">
      <c r="A78" s="47">
        <v>45817</v>
      </c>
      <c r="B78" s="48" t="s">
        <v>385</v>
      </c>
      <c r="C78" s="44">
        <v>-3.2400000095367432</v>
      </c>
      <c r="D78" s="48" t="s">
        <v>205</v>
      </c>
      <c r="E78" s="48" t="s">
        <v>174</v>
      </c>
      <c r="F78" s="48" t="s">
        <v>174</v>
      </c>
      <c r="G78" s="49" t="s">
        <v>104</v>
      </c>
      <c r="H78" s="7"/>
      <c r="I78" s="9">
        <f t="shared" si="25"/>
        <v>0</v>
      </c>
      <c r="J78" s="9">
        <f t="shared" si="26"/>
        <v>-3.2400000095367432</v>
      </c>
      <c r="K78" s="9">
        <f t="shared" si="27"/>
        <v>0</v>
      </c>
      <c r="L78" s="8">
        <f t="shared" si="28"/>
        <v>-3.2400000095367432</v>
      </c>
      <c r="M78" s="8">
        <f t="shared" si="29"/>
        <v>0</v>
      </c>
      <c r="N78" s="8">
        <f t="shared" si="30"/>
        <v>0</v>
      </c>
      <c r="P78" s="8">
        <f t="shared" si="31"/>
        <v>-3.2400000095367432</v>
      </c>
      <c r="Q78" s="8">
        <f t="shared" si="22"/>
        <v>-3.2400000095367432</v>
      </c>
      <c r="R78" s="8">
        <f>IF(ISBLANK(A78),"",ABS($AB$1-(A78+10)))</f>
        <v>1265</v>
      </c>
      <c r="S78" s="8">
        <f>IF(ISBLANK(A78),"",ABS($AB$2-(A78+$AA$5)))</f>
        <v>1077</v>
      </c>
      <c r="T78" s="8">
        <f t="shared" si="24"/>
        <v>-3397.3400075435638</v>
      </c>
      <c r="U78" s="9">
        <f t="shared" si="32"/>
        <v>3397.3400075435638</v>
      </c>
      <c r="V78" s="9">
        <f t="shared" si="33"/>
        <v>0</v>
      </c>
      <c r="W78" s="9">
        <f t="shared" si="34"/>
        <v>3792.7300567626953</v>
      </c>
    </row>
    <row r="79" spans="1:23" x14ac:dyDescent="0.2">
      <c r="A79" s="50">
        <v>45817</v>
      </c>
      <c r="B79" s="51" t="s">
        <v>386</v>
      </c>
      <c r="C79" s="45">
        <v>-300</v>
      </c>
      <c r="D79" s="51" t="s">
        <v>216</v>
      </c>
      <c r="E79" s="51" t="s">
        <v>174</v>
      </c>
      <c r="F79" s="51" t="s">
        <v>174</v>
      </c>
      <c r="G79" s="52" t="s">
        <v>104</v>
      </c>
      <c r="H79" s="7"/>
      <c r="I79" s="9">
        <f t="shared" si="25"/>
        <v>0</v>
      </c>
      <c r="J79" s="9">
        <f t="shared" si="26"/>
        <v>-300</v>
      </c>
      <c r="K79" s="9">
        <f t="shared" si="27"/>
        <v>0</v>
      </c>
      <c r="L79" s="8">
        <f t="shared" si="28"/>
        <v>-300</v>
      </c>
      <c r="M79" s="8">
        <f t="shared" si="29"/>
        <v>0</v>
      </c>
      <c r="N79" s="8">
        <f t="shared" si="30"/>
        <v>0</v>
      </c>
      <c r="P79" s="8">
        <f t="shared" si="31"/>
        <v>-300</v>
      </c>
      <c r="Q79" s="8">
        <f t="shared" si="22"/>
        <v>-300</v>
      </c>
      <c r="R79" s="8">
        <f>IF(ISBLANK(A79),"",ABS($AB$1-(A79+10)))</f>
        <v>1265</v>
      </c>
      <c r="S79" s="8">
        <f>IF(ISBLANK(A79),"",ABS($AB$2-(A79+$AA$5)))</f>
        <v>1077</v>
      </c>
      <c r="T79" s="8">
        <f t="shared" si="24"/>
        <v>-3697.3400075435638</v>
      </c>
      <c r="U79" s="9">
        <f t="shared" si="32"/>
        <v>3697.3400075435638</v>
      </c>
      <c r="V79" s="9">
        <f t="shared" si="33"/>
        <v>0</v>
      </c>
      <c r="W79" s="9">
        <f t="shared" si="34"/>
        <v>3792.7300567626953</v>
      </c>
    </row>
    <row r="80" spans="1:23" x14ac:dyDescent="0.2">
      <c r="A80" s="47">
        <v>45817</v>
      </c>
      <c r="B80" s="48" t="s">
        <v>387</v>
      </c>
      <c r="C80" s="44">
        <v>-474.6400146484375</v>
      </c>
      <c r="D80" s="48" t="s">
        <v>223</v>
      </c>
      <c r="E80" s="48" t="s">
        <v>174</v>
      </c>
      <c r="F80" s="48" t="s">
        <v>174</v>
      </c>
      <c r="G80" s="49" t="s">
        <v>104</v>
      </c>
      <c r="H80" s="7"/>
      <c r="I80" s="9">
        <f t="shared" si="25"/>
        <v>0</v>
      </c>
      <c r="J80" s="9">
        <f t="shared" si="26"/>
        <v>-474.6400146484375</v>
      </c>
      <c r="K80" s="9">
        <f t="shared" si="27"/>
        <v>0</v>
      </c>
      <c r="L80" s="8">
        <f t="shared" si="28"/>
        <v>-474.6400146484375</v>
      </c>
      <c r="M80" s="8">
        <f t="shared" si="29"/>
        <v>0</v>
      </c>
      <c r="N80" s="8">
        <f t="shared" si="30"/>
        <v>0</v>
      </c>
      <c r="P80" s="8">
        <f t="shared" si="31"/>
        <v>-474.6400146484375</v>
      </c>
      <c r="Q80" s="8">
        <f t="shared" si="22"/>
        <v>-474.6400146484375</v>
      </c>
      <c r="R80" s="8">
        <f>IF(ISBLANK(A80),"",ABS($AB$1-(A80+10)))</f>
        <v>1265</v>
      </c>
      <c r="S80" s="8">
        <f>IF(ISBLANK(A80),"",ABS($AB$2-(A80+$AA$5)))</f>
        <v>1077</v>
      </c>
      <c r="T80" s="8">
        <f t="shared" si="24"/>
        <v>-4171.9800221920013</v>
      </c>
      <c r="U80" s="9">
        <f t="shared" si="32"/>
        <v>4171.9800221920013</v>
      </c>
      <c r="V80" s="9">
        <f t="shared" si="33"/>
        <v>0</v>
      </c>
      <c r="W80" s="9">
        <f t="shared" si="34"/>
        <v>3792.7300567626953</v>
      </c>
    </row>
    <row r="81" spans="1:23" x14ac:dyDescent="0.2">
      <c r="A81" s="50">
        <v>45818</v>
      </c>
      <c r="B81" s="51" t="s">
        <v>133</v>
      </c>
      <c r="C81" s="45">
        <v>-2.5899999141693115</v>
      </c>
      <c r="D81" s="51" t="s">
        <v>206</v>
      </c>
      <c r="E81" s="51" t="s">
        <v>174</v>
      </c>
      <c r="F81" s="51" t="s">
        <v>174</v>
      </c>
      <c r="G81" s="52" t="s">
        <v>105</v>
      </c>
      <c r="H81" s="7"/>
      <c r="I81" s="9">
        <f t="shared" si="25"/>
        <v>0</v>
      </c>
      <c r="J81" s="9">
        <f t="shared" si="26"/>
        <v>0</v>
      </c>
      <c r="K81" s="9">
        <f t="shared" si="27"/>
        <v>-2.5899999141693115</v>
      </c>
      <c r="L81" s="8">
        <f t="shared" si="28"/>
        <v>-2.5899999141693115</v>
      </c>
      <c r="M81" s="8">
        <f t="shared" si="29"/>
        <v>0</v>
      </c>
      <c r="N81" s="8">
        <f t="shared" si="30"/>
        <v>0</v>
      </c>
      <c r="P81" s="8">
        <f t="shared" si="31"/>
        <v>-2.5899999141693115</v>
      </c>
      <c r="Q81" s="8">
        <f t="shared" si="22"/>
        <v>-2.5899999141693115</v>
      </c>
      <c r="R81" s="8">
        <f>IF(ISBLANK(A81),"",ABS($AB$1-(A81+10)))</f>
        <v>1266</v>
      </c>
      <c r="S81" s="8">
        <f>IF(ISBLANK(A81),"",ABS($AB$2-(A81+$AA$5)))</f>
        <v>1078</v>
      </c>
      <c r="T81" s="8">
        <f t="shared" si="24"/>
        <v>-4174.5700221061707</v>
      </c>
      <c r="U81" s="9">
        <f t="shared" si="32"/>
        <v>4174.5700221061707</v>
      </c>
      <c r="V81" s="9">
        <f t="shared" si="33"/>
        <v>0</v>
      </c>
      <c r="W81" s="9">
        <f t="shared" si="34"/>
        <v>3792.7300567626953</v>
      </c>
    </row>
    <row r="82" spans="1:23" x14ac:dyDescent="0.2">
      <c r="A82" s="47">
        <v>45818</v>
      </c>
      <c r="B82" s="48" t="s">
        <v>388</v>
      </c>
      <c r="C82" s="44">
        <v>-14.979999542236328</v>
      </c>
      <c r="D82" s="48" t="s">
        <v>211</v>
      </c>
      <c r="E82" s="48" t="s">
        <v>174</v>
      </c>
      <c r="F82" s="48" t="s">
        <v>174</v>
      </c>
      <c r="G82" s="49" t="s">
        <v>105</v>
      </c>
      <c r="H82" s="7"/>
      <c r="I82" s="9">
        <f t="shared" si="25"/>
        <v>0</v>
      </c>
      <c r="J82" s="9">
        <f t="shared" si="26"/>
        <v>0</v>
      </c>
      <c r="K82" s="9">
        <f t="shared" si="27"/>
        <v>-14.979999542236328</v>
      </c>
      <c r="L82" s="8">
        <f t="shared" si="28"/>
        <v>-14.979999542236328</v>
      </c>
      <c r="M82" s="8">
        <f t="shared" si="29"/>
        <v>0</v>
      </c>
      <c r="N82" s="8">
        <f t="shared" si="30"/>
        <v>0</v>
      </c>
      <c r="P82" s="8">
        <f t="shared" si="31"/>
        <v>-14.979999542236328</v>
      </c>
      <c r="Q82" s="8">
        <f t="shared" si="22"/>
        <v>-14.979999542236328</v>
      </c>
      <c r="R82" s="8">
        <f>IF(ISBLANK(A82),"",ABS($AB$1-(A82+10)))</f>
        <v>1266</v>
      </c>
      <c r="S82" s="8">
        <f>IF(ISBLANK(A82),"",ABS($AB$2-(A82+$AA$5)))</f>
        <v>1078</v>
      </c>
      <c r="T82" s="8">
        <f t="shared" si="24"/>
        <v>-4189.550021648407</v>
      </c>
      <c r="U82" s="9">
        <f t="shared" si="32"/>
        <v>4189.550021648407</v>
      </c>
      <c r="V82" s="9">
        <f t="shared" si="33"/>
        <v>0</v>
      </c>
      <c r="W82" s="9">
        <f t="shared" si="34"/>
        <v>3792.7300567626953</v>
      </c>
    </row>
    <row r="83" spans="1:23" x14ac:dyDescent="0.2">
      <c r="A83" s="50">
        <v>45818</v>
      </c>
      <c r="B83" s="51" t="s">
        <v>389</v>
      </c>
      <c r="C83" s="45">
        <v>-441.8800048828125</v>
      </c>
      <c r="D83" s="51" t="s">
        <v>217</v>
      </c>
      <c r="E83" s="51" t="s">
        <v>174</v>
      </c>
      <c r="F83" s="51" t="s">
        <v>174</v>
      </c>
      <c r="G83" s="52" t="s">
        <v>104</v>
      </c>
      <c r="H83" s="7"/>
      <c r="I83" s="9">
        <f t="shared" si="25"/>
        <v>0</v>
      </c>
      <c r="J83" s="9">
        <f t="shared" si="26"/>
        <v>-441.8800048828125</v>
      </c>
      <c r="K83" s="9">
        <f t="shared" si="27"/>
        <v>0</v>
      </c>
      <c r="L83" s="8">
        <f t="shared" si="28"/>
        <v>-441.8800048828125</v>
      </c>
      <c r="M83" s="8">
        <f t="shared" si="29"/>
        <v>0</v>
      </c>
      <c r="N83" s="8">
        <f t="shared" si="30"/>
        <v>0</v>
      </c>
      <c r="P83" s="8">
        <f t="shared" si="31"/>
        <v>-441.8800048828125</v>
      </c>
      <c r="Q83" s="8">
        <f t="shared" si="22"/>
        <v>-441.8800048828125</v>
      </c>
      <c r="R83" s="8">
        <f>IF(ISBLANK(A83),"",ABS($AB$1-(A83+10)))</f>
        <v>1266</v>
      </c>
      <c r="S83" s="8">
        <f>IF(ISBLANK(A83),"",ABS($AB$2-(A83+$AA$5)))</f>
        <v>1078</v>
      </c>
      <c r="T83" s="8">
        <f t="shared" si="24"/>
        <v>-4631.4300265312195</v>
      </c>
      <c r="U83" s="9">
        <f t="shared" si="32"/>
        <v>4631.4300265312195</v>
      </c>
      <c r="V83" s="9">
        <f t="shared" si="33"/>
        <v>0</v>
      </c>
      <c r="W83" s="9">
        <f t="shared" si="34"/>
        <v>3792.7300567626953</v>
      </c>
    </row>
    <row r="84" spans="1:23" x14ac:dyDescent="0.2">
      <c r="A84" s="47">
        <v>45819</v>
      </c>
      <c r="B84" s="48" t="s">
        <v>137</v>
      </c>
      <c r="C84" s="44">
        <v>-5.880000114440918</v>
      </c>
      <c r="D84" s="48" t="s">
        <v>206</v>
      </c>
      <c r="E84" s="48" t="s">
        <v>174</v>
      </c>
      <c r="F84" s="48" t="s">
        <v>174</v>
      </c>
      <c r="G84" s="49" t="s">
        <v>105</v>
      </c>
      <c r="H84" s="7"/>
      <c r="I84" s="9">
        <f t="shared" si="25"/>
        <v>0</v>
      </c>
      <c r="J84" s="9">
        <f t="shared" si="26"/>
        <v>0</v>
      </c>
      <c r="K84" s="9">
        <f t="shared" si="27"/>
        <v>-5.880000114440918</v>
      </c>
      <c r="L84" s="8">
        <f t="shared" si="28"/>
        <v>-5.880000114440918</v>
      </c>
      <c r="M84" s="8">
        <f t="shared" si="29"/>
        <v>0</v>
      </c>
      <c r="N84" s="8">
        <f t="shared" si="30"/>
        <v>0</v>
      </c>
      <c r="P84" s="8">
        <f t="shared" si="31"/>
        <v>-5.880000114440918</v>
      </c>
      <c r="Q84" s="8">
        <f t="shared" si="22"/>
        <v>-5.880000114440918</v>
      </c>
      <c r="R84" s="8">
        <f>IF(ISBLANK(A84),"",ABS($AB$1-(A84+10)))</f>
        <v>1267</v>
      </c>
      <c r="S84" s="8">
        <f>IF(ISBLANK(A84),"",ABS($AB$2-(A84+$AA$5)))</f>
        <v>1079</v>
      </c>
      <c r="T84" s="8">
        <f t="shared" si="24"/>
        <v>-4637.3100266456604</v>
      </c>
      <c r="U84" s="9">
        <f t="shared" si="32"/>
        <v>4637.3100266456604</v>
      </c>
      <c r="V84" s="9">
        <f t="shared" si="33"/>
        <v>0</v>
      </c>
      <c r="W84" s="9">
        <f t="shared" si="34"/>
        <v>3792.7300567626953</v>
      </c>
    </row>
    <row r="85" spans="1:23" x14ac:dyDescent="0.2">
      <c r="A85" s="50">
        <v>45819</v>
      </c>
      <c r="B85" s="51" t="s">
        <v>272</v>
      </c>
      <c r="C85" s="45">
        <v>1182.3599853515625</v>
      </c>
      <c r="D85" s="51" t="s">
        <v>209</v>
      </c>
      <c r="E85" s="51" t="s">
        <v>128</v>
      </c>
      <c r="F85" s="51" t="s">
        <v>174</v>
      </c>
      <c r="G85" s="52" t="s">
        <v>105</v>
      </c>
      <c r="H85" s="7"/>
      <c r="I85" s="9">
        <f t="shared" si="25"/>
        <v>0</v>
      </c>
      <c r="J85" s="9">
        <f t="shared" si="26"/>
        <v>0</v>
      </c>
      <c r="K85" s="9">
        <f t="shared" si="27"/>
        <v>0</v>
      </c>
      <c r="L85" s="8">
        <f t="shared" si="28"/>
        <v>0</v>
      </c>
      <c r="M85" s="8">
        <f t="shared" si="29"/>
        <v>0</v>
      </c>
      <c r="N85" s="8">
        <f t="shared" si="30"/>
        <v>0</v>
      </c>
      <c r="P85" s="8">
        <f t="shared" si="31"/>
        <v>0</v>
      </c>
      <c r="Q85" s="8">
        <f t="shared" si="22"/>
        <v>0</v>
      </c>
      <c r="R85" s="8">
        <f>IF(ISBLANK(A85),"",ABS($AB$1-(A85+10)))</f>
        <v>1267</v>
      </c>
      <c r="S85" s="8">
        <f>IF(ISBLANK(A85),"",ABS($AB$2-(A85+$AA$5)))</f>
        <v>1079</v>
      </c>
      <c r="T85" s="8">
        <f t="shared" si="24"/>
        <v>-4637.3100266456604</v>
      </c>
      <c r="U85" s="9">
        <f t="shared" si="32"/>
        <v>4637.3100266456604</v>
      </c>
      <c r="V85" s="9">
        <f t="shared" si="33"/>
        <v>1182.3599853515625</v>
      </c>
      <c r="W85" s="9">
        <f t="shared" si="34"/>
        <v>4975.0900421142578</v>
      </c>
    </row>
    <row r="86" spans="1:23" x14ac:dyDescent="0.2">
      <c r="A86" s="47">
        <v>45820</v>
      </c>
      <c r="B86" s="48" t="s">
        <v>390</v>
      </c>
      <c r="C86" s="44">
        <v>-1182.3599853515625</v>
      </c>
      <c r="D86" s="48" t="s">
        <v>212</v>
      </c>
      <c r="E86" s="48" t="s">
        <v>128</v>
      </c>
      <c r="F86" s="48" t="s">
        <v>174</v>
      </c>
      <c r="G86" s="49" t="s">
        <v>104</v>
      </c>
      <c r="H86" s="7"/>
      <c r="I86" s="9">
        <f t="shared" si="25"/>
        <v>0</v>
      </c>
      <c r="J86" s="9">
        <f t="shared" si="26"/>
        <v>-1182.3599853515625</v>
      </c>
      <c r="K86" s="9">
        <f t="shared" si="27"/>
        <v>0</v>
      </c>
      <c r="L86" s="8">
        <f t="shared" si="28"/>
        <v>0</v>
      </c>
      <c r="M86" s="8">
        <f t="shared" si="29"/>
        <v>0</v>
      </c>
      <c r="N86" s="8">
        <f t="shared" si="30"/>
        <v>0</v>
      </c>
      <c r="P86" s="8">
        <f t="shared" si="31"/>
        <v>0</v>
      </c>
      <c r="Q86" s="8">
        <f t="shared" si="22"/>
        <v>0</v>
      </c>
      <c r="R86" s="8">
        <f>IF(ISBLANK(A86),"",ABS($AB$1-(A86+10)))</f>
        <v>1268</v>
      </c>
      <c r="S86" s="8">
        <f>IF(ISBLANK(A86),"",ABS($AB$2-(A86+$AA$5)))</f>
        <v>1080</v>
      </c>
      <c r="T86" s="8">
        <f t="shared" si="24"/>
        <v>-4637.3100266456604</v>
      </c>
      <c r="U86" s="9">
        <f t="shared" si="32"/>
        <v>4637.3100266456604</v>
      </c>
      <c r="V86" s="9">
        <f t="shared" si="33"/>
        <v>0</v>
      </c>
      <c r="W86" s="9">
        <f t="shared" si="34"/>
        <v>4975.0900421142578</v>
      </c>
    </row>
    <row r="87" spans="1:23" x14ac:dyDescent="0.2">
      <c r="A87" s="50">
        <v>45820</v>
      </c>
      <c r="B87" s="51" t="s">
        <v>391</v>
      </c>
      <c r="C87" s="45">
        <v>2877.22998046875</v>
      </c>
      <c r="D87" s="51" t="s">
        <v>213</v>
      </c>
      <c r="E87" s="51" t="s">
        <v>174</v>
      </c>
      <c r="F87" s="51" t="s">
        <v>174</v>
      </c>
      <c r="G87" s="52" t="s">
        <v>104</v>
      </c>
      <c r="H87" s="7"/>
      <c r="I87" s="9">
        <f t="shared" si="25"/>
        <v>0</v>
      </c>
      <c r="J87" s="9">
        <f t="shared" si="26"/>
        <v>2877.22998046875</v>
      </c>
      <c r="K87" s="9">
        <f t="shared" si="27"/>
        <v>0</v>
      </c>
      <c r="L87" s="8">
        <f t="shared" si="28"/>
        <v>0</v>
      </c>
      <c r="M87" s="8">
        <f t="shared" si="29"/>
        <v>0</v>
      </c>
      <c r="N87" s="8">
        <f t="shared" si="30"/>
        <v>0</v>
      </c>
      <c r="P87" s="8">
        <f t="shared" si="31"/>
        <v>0</v>
      </c>
      <c r="Q87" s="8">
        <f t="shared" si="22"/>
        <v>0</v>
      </c>
      <c r="R87" s="8">
        <f>IF(ISBLANK(A87),"",ABS($AB$1-(A87+10)))</f>
        <v>1268</v>
      </c>
      <c r="S87" s="8">
        <f>IF(ISBLANK(A87),"",ABS($AB$2-(A87+$AA$5)))</f>
        <v>1080</v>
      </c>
      <c r="T87" s="8">
        <f t="shared" si="24"/>
        <v>-4637.3100266456604</v>
      </c>
      <c r="U87" s="9">
        <f t="shared" si="32"/>
        <v>4637.3100266456604</v>
      </c>
      <c r="V87" s="9">
        <f t="shared" si="33"/>
        <v>2877.22998046875</v>
      </c>
      <c r="W87" s="9">
        <f t="shared" si="34"/>
        <v>7852.3200225830078</v>
      </c>
    </row>
    <row r="88" spans="1:23" x14ac:dyDescent="0.2">
      <c r="A88" s="47">
        <v>45821</v>
      </c>
      <c r="B88" s="48" t="s">
        <v>392</v>
      </c>
      <c r="C88" s="44">
        <v>-12.5</v>
      </c>
      <c r="D88" s="48" t="s">
        <v>211</v>
      </c>
      <c r="E88" s="48" t="s">
        <v>174</v>
      </c>
      <c r="F88" s="48" t="s">
        <v>103</v>
      </c>
      <c r="G88" s="49" t="s">
        <v>105</v>
      </c>
      <c r="H88" s="7"/>
      <c r="I88" s="9">
        <f t="shared" si="25"/>
        <v>-12.5</v>
      </c>
      <c r="J88" s="9">
        <f t="shared" si="26"/>
        <v>0</v>
      </c>
      <c r="K88" s="9">
        <f t="shared" si="27"/>
        <v>-12.5</v>
      </c>
      <c r="L88" s="8">
        <f t="shared" si="28"/>
        <v>0</v>
      </c>
      <c r="M88" s="8">
        <f t="shared" si="29"/>
        <v>0</v>
      </c>
      <c r="N88" s="8">
        <f t="shared" si="30"/>
        <v>0</v>
      </c>
      <c r="P88" s="8">
        <f t="shared" si="31"/>
        <v>-12.5</v>
      </c>
      <c r="Q88" s="8">
        <f t="shared" si="22"/>
        <v>-12.5</v>
      </c>
      <c r="R88" s="8">
        <f>IF(ISBLANK(A88),"",ABS($AB$1-(A88+10)))</f>
        <v>1269</v>
      </c>
      <c r="S88" s="8">
        <f>IF(ISBLANK(A88),"",ABS($AB$2-(A88+$AA$5)))</f>
        <v>1081</v>
      </c>
      <c r="T88" s="8">
        <f t="shared" si="24"/>
        <v>-4649.8100266456604</v>
      </c>
      <c r="U88" s="9">
        <f t="shared" si="32"/>
        <v>4649.8100266456604</v>
      </c>
      <c r="V88" s="9">
        <f t="shared" si="33"/>
        <v>0</v>
      </c>
      <c r="W88" s="9">
        <f t="shared" si="34"/>
        <v>7852.3200225830078</v>
      </c>
    </row>
    <row r="89" spans="1:23" x14ac:dyDescent="0.2">
      <c r="A89" s="50">
        <v>45821</v>
      </c>
      <c r="B89" s="51" t="s">
        <v>393</v>
      </c>
      <c r="C89" s="45">
        <v>-77.720001220703125</v>
      </c>
      <c r="D89" s="51" t="s">
        <v>205</v>
      </c>
      <c r="E89" s="51" t="s">
        <v>174</v>
      </c>
      <c r="F89" s="51" t="s">
        <v>103</v>
      </c>
      <c r="G89" s="52" t="s">
        <v>104</v>
      </c>
      <c r="H89" s="7"/>
      <c r="I89" s="9">
        <f t="shared" si="25"/>
        <v>-77.720001220703125</v>
      </c>
      <c r="J89" s="9">
        <f t="shared" si="26"/>
        <v>-77.720001220703125</v>
      </c>
      <c r="K89" s="9">
        <f t="shared" si="27"/>
        <v>0</v>
      </c>
      <c r="L89" s="8">
        <f t="shared" si="28"/>
        <v>0</v>
      </c>
      <c r="M89" s="8">
        <f t="shared" si="29"/>
        <v>0</v>
      </c>
      <c r="N89" s="8">
        <f t="shared" si="30"/>
        <v>0</v>
      </c>
      <c r="P89" s="8">
        <f t="shared" si="31"/>
        <v>-77.720001220703125</v>
      </c>
      <c r="Q89" s="8">
        <f t="shared" si="22"/>
        <v>-77.720001220703125</v>
      </c>
      <c r="R89" s="8">
        <f>IF(ISBLANK(A89),"",ABS($AB$1-(A89+10)))</f>
        <v>1269</v>
      </c>
      <c r="S89" s="8">
        <f>IF(ISBLANK(A89),"",ABS($AB$2-(A89+$AA$5)))</f>
        <v>1081</v>
      </c>
      <c r="T89" s="8">
        <f t="shared" si="24"/>
        <v>-4727.5300278663635</v>
      </c>
      <c r="U89" s="9">
        <f t="shared" si="32"/>
        <v>4727.5300278663635</v>
      </c>
      <c r="V89" s="9">
        <f t="shared" si="33"/>
        <v>0</v>
      </c>
      <c r="W89" s="9">
        <f t="shared" si="34"/>
        <v>7852.3200225830078</v>
      </c>
    </row>
    <row r="90" spans="1:23" x14ac:dyDescent="0.2">
      <c r="A90" s="47">
        <v>45821</v>
      </c>
      <c r="B90" s="48" t="s">
        <v>394</v>
      </c>
      <c r="C90" s="44">
        <v>-2.9900000095367432</v>
      </c>
      <c r="D90" s="48" t="s">
        <v>206</v>
      </c>
      <c r="E90" s="48" t="s">
        <v>174</v>
      </c>
      <c r="F90" s="48" t="s">
        <v>174</v>
      </c>
      <c r="G90" s="49" t="s">
        <v>104</v>
      </c>
      <c r="H90" s="7"/>
      <c r="I90" s="9">
        <f t="shared" si="25"/>
        <v>0</v>
      </c>
      <c r="J90" s="9">
        <f t="shared" si="26"/>
        <v>-2.9900000095367432</v>
      </c>
      <c r="K90" s="9">
        <f t="shared" si="27"/>
        <v>0</v>
      </c>
      <c r="L90" s="8">
        <f t="shared" si="28"/>
        <v>-2.9900000095367432</v>
      </c>
      <c r="M90" s="8">
        <f t="shared" si="29"/>
        <v>0</v>
      </c>
      <c r="N90" s="8">
        <f t="shared" si="30"/>
        <v>0</v>
      </c>
      <c r="P90" s="8">
        <f t="shared" si="31"/>
        <v>-2.9900000095367432</v>
      </c>
      <c r="Q90" s="8">
        <f t="shared" si="22"/>
        <v>-2.9900000095367432</v>
      </c>
      <c r="R90" s="8">
        <f>IF(ISBLANK(A90),"",ABS($AB$1-(A90+10)))</f>
        <v>1269</v>
      </c>
      <c r="S90" s="8">
        <f>IF(ISBLANK(A90),"",ABS($AB$2-(A90+$AA$5)))</f>
        <v>1081</v>
      </c>
      <c r="T90" s="8">
        <f t="shared" si="24"/>
        <v>-4730.5200278759003</v>
      </c>
      <c r="U90" s="9">
        <f t="shared" si="32"/>
        <v>4730.5200278759003</v>
      </c>
      <c r="V90" s="9">
        <f t="shared" si="33"/>
        <v>0</v>
      </c>
      <c r="W90" s="9">
        <f t="shared" si="34"/>
        <v>7852.3200225830078</v>
      </c>
    </row>
    <row r="91" spans="1:23" x14ac:dyDescent="0.2">
      <c r="A91" s="50">
        <v>45822</v>
      </c>
      <c r="B91" s="51" t="s">
        <v>395</v>
      </c>
      <c r="C91" s="45">
        <v>-27</v>
      </c>
      <c r="D91" s="51" t="s">
        <v>396</v>
      </c>
      <c r="E91" s="51" t="s">
        <v>174</v>
      </c>
      <c r="F91" s="51" t="s">
        <v>174</v>
      </c>
      <c r="G91" s="52" t="s">
        <v>104</v>
      </c>
      <c r="H91" s="7"/>
      <c r="I91" s="9">
        <f t="shared" si="25"/>
        <v>0</v>
      </c>
      <c r="J91" s="9">
        <f t="shared" si="26"/>
        <v>-27</v>
      </c>
      <c r="K91" s="9">
        <f t="shared" si="27"/>
        <v>0</v>
      </c>
      <c r="L91" s="8">
        <f t="shared" si="28"/>
        <v>-27</v>
      </c>
      <c r="M91" s="8">
        <f t="shared" si="29"/>
        <v>0</v>
      </c>
      <c r="N91" s="8">
        <f t="shared" si="30"/>
        <v>0</v>
      </c>
      <c r="P91" s="8">
        <f t="shared" si="31"/>
        <v>-27</v>
      </c>
      <c r="Q91" s="8">
        <f t="shared" si="22"/>
        <v>-27</v>
      </c>
      <c r="R91" s="8">
        <f>IF(ISBLANK(A91),"",ABS($AB$1-(A91+10)))</f>
        <v>1270</v>
      </c>
      <c r="S91" s="8">
        <f>IF(ISBLANK(A91),"",ABS($AB$2-(A91+$AA$5)))</f>
        <v>1082</v>
      </c>
      <c r="T91" s="8">
        <f t="shared" si="24"/>
        <v>-4757.5200278759003</v>
      </c>
      <c r="U91" s="9">
        <f t="shared" si="32"/>
        <v>4757.5200278759003</v>
      </c>
      <c r="V91" s="9">
        <f t="shared" si="33"/>
        <v>0</v>
      </c>
      <c r="W91" s="9">
        <f t="shared" si="34"/>
        <v>7852.3200225830078</v>
      </c>
    </row>
    <row r="92" spans="1:23" x14ac:dyDescent="0.2">
      <c r="A92" s="21"/>
      <c r="B92" s="19"/>
      <c r="C92" s="19"/>
      <c r="D92" s="19"/>
      <c r="E92" s="19"/>
      <c r="F92" s="19"/>
      <c r="G92" s="22"/>
      <c r="H92" s="7"/>
      <c r="I92" s="9"/>
      <c r="J92" s="9"/>
      <c r="K92" s="9"/>
      <c r="L92" s="8"/>
      <c r="M92" s="8"/>
      <c r="N92" s="8"/>
      <c r="P92" s="8"/>
      <c r="Q92" s="8"/>
      <c r="R92" s="8"/>
      <c r="S92" s="8"/>
      <c r="T92" s="8"/>
      <c r="U92" s="9"/>
      <c r="V92" s="9"/>
      <c r="W92" s="9">
        <f t="shared" si="34"/>
        <v>7852.3200225830078</v>
      </c>
    </row>
    <row r="93" spans="1:23" x14ac:dyDescent="0.2">
      <c r="A93" s="23"/>
      <c r="B93" s="20"/>
      <c r="C93" s="20"/>
      <c r="D93" s="20"/>
      <c r="E93" s="20"/>
      <c r="F93" s="20"/>
      <c r="G93" s="24"/>
      <c r="H93" s="7"/>
      <c r="I93" s="9"/>
      <c r="J93" s="9"/>
      <c r="K93" s="9"/>
      <c r="L93" s="8"/>
      <c r="M93" s="8"/>
      <c r="N93" s="8"/>
      <c r="P93" s="8"/>
      <c r="Q93" s="8"/>
      <c r="R93" s="8"/>
      <c r="S93" s="8"/>
      <c r="T93" s="8"/>
      <c r="U93" s="9"/>
      <c r="V93" s="9"/>
      <c r="W93" s="9">
        <f t="shared" si="34"/>
        <v>7852.3200225830078</v>
      </c>
    </row>
    <row r="94" spans="1:23" x14ac:dyDescent="0.2">
      <c r="A94" s="21"/>
      <c r="B94" s="19"/>
      <c r="C94" s="19"/>
      <c r="D94" s="19"/>
      <c r="E94" s="19"/>
      <c r="F94" s="19"/>
      <c r="G94" s="22"/>
      <c r="H94" s="7"/>
      <c r="I94" s="9"/>
      <c r="J94" s="9"/>
      <c r="K94" s="9"/>
      <c r="L94" s="8"/>
      <c r="M94" s="8"/>
      <c r="N94" s="8"/>
      <c r="P94" s="8"/>
      <c r="Q94" s="8"/>
      <c r="R94" s="8"/>
      <c r="S94" s="8"/>
      <c r="T94" s="8"/>
      <c r="U94" s="9"/>
      <c r="V94" s="9"/>
      <c r="W94" s="9">
        <f t="shared" si="34"/>
        <v>7852.3200225830078</v>
      </c>
    </row>
    <row r="95" spans="1:23" x14ac:dyDescent="0.2">
      <c r="A95" s="23"/>
      <c r="B95" s="20"/>
      <c r="C95" s="20"/>
      <c r="D95" s="20"/>
      <c r="E95" s="20"/>
      <c r="F95" s="20"/>
      <c r="G95" s="24"/>
      <c r="H95" s="7"/>
      <c r="I95" s="9"/>
      <c r="J95" s="9"/>
      <c r="K95" s="9"/>
      <c r="L95" s="8"/>
      <c r="M95" s="8"/>
      <c r="N95" s="8"/>
      <c r="P95" s="8"/>
      <c r="Q95" s="8"/>
      <c r="R95" s="8"/>
      <c r="S95" s="8"/>
      <c r="T95" s="8"/>
      <c r="U95" s="9"/>
      <c r="V95" s="9"/>
      <c r="W95" s="9">
        <f t="shared" si="34"/>
        <v>7852.3200225830078</v>
      </c>
    </row>
    <row r="96" spans="1:23" x14ac:dyDescent="0.2">
      <c r="A96" s="21"/>
      <c r="B96" s="19"/>
      <c r="C96" s="19"/>
      <c r="D96" s="19"/>
      <c r="E96" s="19"/>
      <c r="F96" s="19"/>
      <c r="G96" s="22"/>
      <c r="H96" s="7"/>
      <c r="I96" s="9"/>
      <c r="J96" s="9"/>
      <c r="K96" s="9"/>
      <c r="L96" s="8"/>
      <c r="M96" s="8"/>
      <c r="N96" s="8"/>
      <c r="P96" s="8"/>
      <c r="Q96" s="8"/>
      <c r="R96" s="8"/>
      <c r="S96" s="8"/>
      <c r="T96" s="8"/>
      <c r="U96" s="9"/>
      <c r="V96" s="9"/>
      <c r="W96" s="9">
        <f t="shared" si="34"/>
        <v>7852.3200225830078</v>
      </c>
    </row>
    <row r="97" spans="1:23" x14ac:dyDescent="0.2">
      <c r="A97" s="23"/>
      <c r="B97" s="20"/>
      <c r="C97" s="20"/>
      <c r="D97" s="20"/>
      <c r="E97" s="20"/>
      <c r="F97" s="20"/>
      <c r="G97" s="24"/>
      <c r="H97" s="7"/>
      <c r="I97" s="9"/>
      <c r="J97" s="9"/>
      <c r="K97" s="9"/>
      <c r="L97" s="8"/>
      <c r="M97" s="8"/>
      <c r="N97" s="8"/>
      <c r="P97" s="8"/>
      <c r="Q97" s="8"/>
      <c r="R97" s="8"/>
      <c r="S97" s="8"/>
      <c r="T97" s="8"/>
      <c r="U97" s="9"/>
      <c r="V97" s="9"/>
      <c r="W97" s="9">
        <f t="shared" si="34"/>
        <v>7852.3200225830078</v>
      </c>
    </row>
    <row r="98" spans="1:23" x14ac:dyDescent="0.2">
      <c r="A98" s="21"/>
      <c r="B98" s="19"/>
      <c r="C98" s="19"/>
      <c r="D98" s="19"/>
      <c r="E98" s="19"/>
      <c r="F98" s="19"/>
      <c r="G98" s="22"/>
      <c r="H98" s="7"/>
      <c r="I98" s="9"/>
      <c r="J98" s="9"/>
      <c r="K98" s="9"/>
      <c r="L98" s="8"/>
      <c r="M98" s="8"/>
      <c r="N98" s="8"/>
      <c r="P98" s="8"/>
      <c r="Q98" s="8"/>
      <c r="R98" s="8"/>
      <c r="S98" s="8"/>
      <c r="T98" s="8"/>
      <c r="U98" s="9"/>
      <c r="V98" s="9"/>
      <c r="W98" s="9">
        <f t="shared" si="34"/>
        <v>7852.3200225830078</v>
      </c>
    </row>
    <row r="99" spans="1:23" x14ac:dyDescent="0.2">
      <c r="A99" s="23"/>
      <c r="B99" s="20"/>
      <c r="C99" s="20"/>
      <c r="D99" s="20"/>
      <c r="E99" s="20"/>
      <c r="F99" s="20"/>
      <c r="G99" s="24"/>
      <c r="H99" s="7"/>
      <c r="I99" s="9"/>
      <c r="J99" s="9"/>
      <c r="K99" s="9"/>
      <c r="L99" s="8"/>
      <c r="M99" s="8"/>
      <c r="N99" s="8"/>
      <c r="P99" s="8"/>
      <c r="Q99" s="8"/>
      <c r="R99" s="8"/>
      <c r="S99" s="8"/>
      <c r="T99" s="8"/>
      <c r="U99" s="9"/>
      <c r="V99" s="9"/>
      <c r="W99" s="9">
        <f t="shared" si="34"/>
        <v>7852.3200225830078</v>
      </c>
    </row>
    <row r="100" spans="1:23" x14ac:dyDescent="0.2">
      <c r="A100" s="21"/>
      <c r="B100" s="19"/>
      <c r="C100" s="19"/>
      <c r="D100" s="19"/>
      <c r="E100" s="19"/>
      <c r="F100" s="19"/>
      <c r="G100" s="22"/>
      <c r="H100" s="7"/>
      <c r="I100" s="9"/>
      <c r="J100" s="9"/>
      <c r="K100" s="9"/>
      <c r="L100" s="8"/>
      <c r="M100" s="8"/>
      <c r="N100" s="8"/>
      <c r="P100" s="8"/>
      <c r="Q100" s="8"/>
      <c r="R100" s="8"/>
      <c r="S100" s="8"/>
      <c r="T100" s="8"/>
      <c r="U100" s="9"/>
      <c r="V100" s="9"/>
      <c r="W100" s="9">
        <f t="shared" si="34"/>
        <v>7852.3200225830078</v>
      </c>
    </row>
    <row r="101" spans="1:23" x14ac:dyDescent="0.2">
      <c r="A101" s="23"/>
      <c r="B101" s="20"/>
      <c r="C101" s="20"/>
      <c r="D101" s="20"/>
      <c r="E101" s="20"/>
      <c r="F101" s="20"/>
      <c r="G101" s="24"/>
      <c r="H101" s="7"/>
      <c r="I101" s="9"/>
      <c r="J101" s="9"/>
      <c r="K101" s="9"/>
      <c r="L101" s="8"/>
      <c r="M101" s="8"/>
      <c r="N101" s="8"/>
      <c r="P101" s="8"/>
      <c r="Q101" s="8"/>
      <c r="R101" s="8"/>
      <c r="S101" s="8"/>
      <c r="T101" s="8"/>
      <c r="U101" s="9"/>
      <c r="V101" s="9"/>
      <c r="W101" s="9">
        <f t="shared" si="34"/>
        <v>7852.3200225830078</v>
      </c>
    </row>
    <row r="102" spans="1:23" x14ac:dyDescent="0.2">
      <c r="A102" s="21"/>
      <c r="B102" s="19"/>
      <c r="C102" s="19"/>
      <c r="D102" s="19"/>
      <c r="E102" s="19"/>
      <c r="F102" s="19"/>
      <c r="G102" s="22"/>
      <c r="H102" s="7"/>
      <c r="I102" s="9"/>
      <c r="J102" s="9"/>
      <c r="K102" s="9"/>
      <c r="L102" s="8"/>
      <c r="M102" s="8"/>
      <c r="N102" s="8"/>
      <c r="P102" s="8"/>
      <c r="Q102" s="8"/>
      <c r="R102" s="8"/>
      <c r="S102" s="8"/>
      <c r="T102" s="8"/>
      <c r="U102" s="9"/>
      <c r="V102" s="9"/>
      <c r="W102" s="9">
        <f t="shared" si="34"/>
        <v>7852.3200225830078</v>
      </c>
    </row>
    <row r="103" spans="1:23" x14ac:dyDescent="0.2">
      <c r="A103" s="23"/>
      <c r="B103" s="20"/>
      <c r="C103" s="20"/>
      <c r="D103" s="20"/>
      <c r="E103" s="20"/>
      <c r="F103" s="20"/>
      <c r="G103" s="24"/>
      <c r="H103" s="7"/>
      <c r="I103" s="9"/>
      <c r="J103" s="9"/>
      <c r="K103" s="9"/>
      <c r="L103" s="8"/>
      <c r="M103" s="8"/>
      <c r="N103" s="8"/>
      <c r="P103" s="8"/>
      <c r="Q103" s="8"/>
      <c r="R103" s="8"/>
      <c r="S103" s="8"/>
      <c r="T103" s="8"/>
      <c r="U103" s="9"/>
      <c r="V103" s="9"/>
      <c r="W103" s="9">
        <f t="shared" si="34"/>
        <v>7852.3200225830078</v>
      </c>
    </row>
    <row r="104" spans="1:23" x14ac:dyDescent="0.2">
      <c r="A104" s="21"/>
      <c r="B104" s="19"/>
      <c r="C104" s="19"/>
      <c r="D104" s="19"/>
      <c r="E104" s="19"/>
      <c r="F104" s="19"/>
      <c r="G104" s="22"/>
      <c r="H104" s="7"/>
      <c r="I104" s="9"/>
      <c r="J104" s="9"/>
      <c r="K104" s="9"/>
      <c r="L104" s="8"/>
      <c r="M104" s="8"/>
      <c r="N104" s="8"/>
      <c r="P104" s="8"/>
      <c r="Q104" s="8"/>
      <c r="R104" s="8"/>
      <c r="S104" s="8"/>
      <c r="T104" s="8"/>
      <c r="U104" s="9"/>
      <c r="V104" s="9"/>
      <c r="W104" s="9">
        <f t="shared" si="34"/>
        <v>7852.3200225830078</v>
      </c>
    </row>
    <row r="105" spans="1:23" x14ac:dyDescent="0.2">
      <c r="A105" s="23"/>
      <c r="B105" s="20"/>
      <c r="C105" s="20"/>
      <c r="D105" s="20"/>
      <c r="E105" s="20"/>
      <c r="F105" s="20"/>
      <c r="G105" s="24"/>
      <c r="H105" s="7"/>
      <c r="I105" s="9"/>
      <c r="J105" s="9"/>
      <c r="K105" s="9"/>
      <c r="L105" s="8"/>
      <c r="M105" s="8"/>
      <c r="N105" s="8"/>
      <c r="P105" s="8"/>
      <c r="Q105" s="8"/>
      <c r="R105" s="8"/>
      <c r="S105" s="8"/>
      <c r="T105" s="8"/>
      <c r="U105" s="9"/>
      <c r="V105" s="9"/>
      <c r="W105" s="9">
        <f t="shared" si="34"/>
        <v>7852.3200225830078</v>
      </c>
    </row>
    <row r="106" spans="1:23" x14ac:dyDescent="0.2">
      <c r="A106" s="21"/>
      <c r="B106" s="19"/>
      <c r="C106" s="19"/>
      <c r="D106" s="19"/>
      <c r="E106" s="19"/>
      <c r="F106" s="19"/>
      <c r="G106" s="22"/>
      <c r="H106" s="7"/>
      <c r="I106" s="9"/>
      <c r="J106" s="9"/>
      <c r="K106" s="9"/>
      <c r="L106" s="8"/>
      <c r="M106" s="8"/>
      <c r="N106" s="8"/>
      <c r="P106" s="8"/>
      <c r="Q106" s="8"/>
      <c r="R106" s="8"/>
      <c r="S106" s="8"/>
      <c r="T106" s="8"/>
      <c r="U106" s="9"/>
      <c r="V106" s="9"/>
      <c r="W106" s="9">
        <f t="shared" si="34"/>
        <v>7852.3200225830078</v>
      </c>
    </row>
    <row r="107" spans="1:23" x14ac:dyDescent="0.2">
      <c r="A107" s="23"/>
      <c r="B107" s="20"/>
      <c r="C107" s="20"/>
      <c r="D107" s="20"/>
      <c r="E107" s="20"/>
      <c r="F107" s="20"/>
      <c r="G107" s="24"/>
      <c r="H107" s="7"/>
      <c r="I107" s="9"/>
      <c r="J107" s="9"/>
      <c r="K107" s="9"/>
      <c r="L107" s="8"/>
      <c r="M107" s="8"/>
      <c r="N107" s="8"/>
      <c r="P107" s="8"/>
      <c r="Q107" s="8"/>
      <c r="R107" s="8"/>
      <c r="S107" s="8"/>
      <c r="T107" s="8"/>
      <c r="U107" s="9"/>
      <c r="V107" s="9"/>
      <c r="W107" s="9">
        <f t="shared" si="34"/>
        <v>7852.3200225830078</v>
      </c>
    </row>
    <row r="108" spans="1:23" x14ac:dyDescent="0.2">
      <c r="A108" s="21"/>
      <c r="B108" s="19"/>
      <c r="C108" s="19"/>
      <c r="D108" s="19"/>
      <c r="E108" s="19"/>
      <c r="F108" s="19"/>
      <c r="G108" s="22"/>
      <c r="H108" s="7"/>
      <c r="I108" s="9"/>
      <c r="J108" s="9"/>
      <c r="K108" s="9"/>
      <c r="L108" s="8"/>
      <c r="M108" s="8"/>
      <c r="N108" s="8"/>
      <c r="P108" s="8"/>
      <c r="Q108" s="8"/>
      <c r="R108" s="8"/>
      <c r="S108" s="8"/>
      <c r="T108" s="8"/>
      <c r="U108" s="9"/>
      <c r="V108" s="9"/>
      <c r="W108" s="9">
        <f t="shared" si="34"/>
        <v>7852.3200225830078</v>
      </c>
    </row>
    <row r="109" spans="1:23" x14ac:dyDescent="0.2">
      <c r="A109" s="23"/>
      <c r="B109" s="20"/>
      <c r="C109" s="20"/>
      <c r="D109" s="20"/>
      <c r="E109" s="20"/>
      <c r="F109" s="20"/>
      <c r="G109" s="24"/>
      <c r="H109" s="7"/>
      <c r="I109" s="9"/>
      <c r="J109" s="9"/>
      <c r="K109" s="9"/>
      <c r="L109" s="8"/>
      <c r="M109" s="8"/>
      <c r="N109" s="8"/>
      <c r="P109" s="8"/>
      <c r="Q109" s="8"/>
      <c r="R109" s="8"/>
      <c r="S109" s="8"/>
      <c r="T109" s="8"/>
      <c r="U109" s="9"/>
      <c r="V109" s="9"/>
      <c r="W109" s="9">
        <f t="shared" si="34"/>
        <v>7852.3200225830078</v>
      </c>
    </row>
    <row r="110" spans="1:23" x14ac:dyDescent="0.2">
      <c r="A110" s="21"/>
      <c r="B110" s="19"/>
      <c r="C110" s="19"/>
      <c r="D110" s="19"/>
      <c r="E110" s="19"/>
      <c r="F110" s="19"/>
      <c r="G110" s="22"/>
      <c r="H110" s="7"/>
      <c r="I110" s="9"/>
      <c r="J110" s="9"/>
      <c r="K110" s="9"/>
      <c r="L110" s="8"/>
      <c r="M110" s="8"/>
      <c r="N110" s="8"/>
      <c r="P110" s="8"/>
      <c r="Q110" s="8"/>
      <c r="R110" s="8"/>
      <c r="S110" s="8"/>
      <c r="T110" s="8"/>
      <c r="U110" s="9"/>
      <c r="V110" s="9"/>
      <c r="W110" s="9">
        <f t="shared" si="34"/>
        <v>7852.3200225830078</v>
      </c>
    </row>
    <row r="111" spans="1:23" x14ac:dyDescent="0.2">
      <c r="A111" s="23"/>
      <c r="B111" s="20"/>
      <c r="C111" s="20"/>
      <c r="D111" s="20"/>
      <c r="E111" s="20"/>
      <c r="F111" s="20"/>
      <c r="G111" s="24"/>
      <c r="H111" s="7"/>
      <c r="I111" s="9"/>
      <c r="J111" s="9"/>
      <c r="K111" s="9"/>
      <c r="L111" s="8"/>
      <c r="M111" s="8"/>
      <c r="N111" s="8"/>
      <c r="P111" s="8"/>
      <c r="Q111" s="8"/>
      <c r="R111" s="8"/>
      <c r="S111" s="8"/>
      <c r="T111" s="8"/>
      <c r="U111" s="9"/>
      <c r="V111" s="9"/>
      <c r="W111" s="9">
        <f t="shared" si="34"/>
        <v>7852.3200225830078</v>
      </c>
    </row>
    <row r="112" spans="1:23" x14ac:dyDescent="0.2">
      <c r="A112" s="21"/>
      <c r="B112" s="19"/>
      <c r="C112" s="19"/>
      <c r="D112" s="19"/>
      <c r="E112" s="19"/>
      <c r="F112" s="19"/>
      <c r="G112" s="22"/>
      <c r="H112" s="7"/>
      <c r="I112" s="9"/>
      <c r="J112" s="9"/>
      <c r="K112" s="9"/>
      <c r="L112" s="8"/>
      <c r="M112" s="8"/>
      <c r="N112" s="8"/>
      <c r="P112" s="8"/>
      <c r="Q112" s="8"/>
      <c r="R112" s="8"/>
      <c r="S112" s="8"/>
      <c r="T112" s="8"/>
      <c r="U112" s="9"/>
      <c r="V112" s="9"/>
      <c r="W112" s="9">
        <f t="shared" si="34"/>
        <v>7852.3200225830078</v>
      </c>
    </row>
    <row r="113" spans="1:23" x14ac:dyDescent="0.2">
      <c r="A113" s="23"/>
      <c r="B113" s="20"/>
      <c r="C113" s="20"/>
      <c r="D113" s="20"/>
      <c r="E113" s="20"/>
      <c r="F113" s="20"/>
      <c r="G113" s="24"/>
      <c r="H113" s="7"/>
      <c r="I113" s="9"/>
      <c r="J113" s="9"/>
      <c r="K113" s="9"/>
      <c r="L113" s="8"/>
      <c r="M113" s="8"/>
      <c r="N113" s="8"/>
      <c r="P113" s="8"/>
      <c r="Q113" s="8"/>
      <c r="R113" s="8"/>
      <c r="S113" s="8"/>
      <c r="T113" s="8"/>
      <c r="U113" s="9"/>
      <c r="V113" s="9"/>
      <c r="W113" s="9">
        <f t="shared" si="34"/>
        <v>7852.3200225830078</v>
      </c>
    </row>
    <row r="114" spans="1:23" x14ac:dyDescent="0.2">
      <c r="A114" s="21"/>
      <c r="B114" s="19"/>
      <c r="C114" s="19"/>
      <c r="D114" s="19"/>
      <c r="E114" s="19"/>
      <c r="F114" s="19"/>
      <c r="G114" s="22"/>
      <c r="H114" s="7"/>
      <c r="I114" s="9"/>
      <c r="J114" s="9"/>
      <c r="K114" s="9"/>
      <c r="L114" s="8"/>
      <c r="M114" s="8"/>
      <c r="N114" s="8"/>
      <c r="P114" s="8"/>
      <c r="Q114" s="8"/>
      <c r="R114" s="8"/>
      <c r="S114" s="8"/>
      <c r="T114" s="8"/>
      <c r="U114" s="9"/>
      <c r="V114" s="9"/>
      <c r="W114" s="9">
        <f t="shared" si="34"/>
        <v>7852.3200225830078</v>
      </c>
    </row>
    <row r="115" spans="1:23" x14ac:dyDescent="0.2">
      <c r="A115" s="23"/>
      <c r="B115" s="20"/>
      <c r="C115" s="20"/>
      <c r="D115" s="20"/>
      <c r="E115" s="20"/>
      <c r="F115" s="20"/>
      <c r="G115" s="24"/>
      <c r="H115" s="7"/>
      <c r="I115" s="9"/>
      <c r="J115" s="9"/>
      <c r="K115" s="9"/>
      <c r="L115" s="8"/>
      <c r="M115" s="8"/>
      <c r="N115" s="8"/>
      <c r="P115" s="8"/>
      <c r="Q115" s="8"/>
      <c r="R115" s="8"/>
      <c r="S115" s="8"/>
      <c r="T115" s="8"/>
      <c r="U115" s="9"/>
      <c r="V115" s="9"/>
      <c r="W115" s="9">
        <f t="shared" si="34"/>
        <v>7852.3200225830078</v>
      </c>
    </row>
    <row r="116" spans="1:23" x14ac:dyDescent="0.2">
      <c r="A116" s="21"/>
      <c r="B116" s="19"/>
      <c r="C116" s="19"/>
      <c r="D116" s="19"/>
      <c r="E116" s="19"/>
      <c r="F116" s="19"/>
      <c r="G116" s="22"/>
      <c r="H116" s="7"/>
      <c r="I116" s="9"/>
      <c r="J116" s="9"/>
      <c r="K116" s="9"/>
      <c r="L116" s="8"/>
      <c r="M116" s="8"/>
      <c r="N116" s="8"/>
      <c r="P116" s="8"/>
      <c r="Q116" s="8"/>
      <c r="R116" s="8"/>
      <c r="S116" s="8"/>
      <c r="T116" s="8"/>
      <c r="U116" s="9"/>
      <c r="V116" s="9"/>
      <c r="W116" s="9">
        <f t="shared" si="34"/>
        <v>7852.3200225830078</v>
      </c>
    </row>
    <row r="117" spans="1:23" x14ac:dyDescent="0.2">
      <c r="A117" s="23"/>
      <c r="B117" s="20"/>
      <c r="C117" s="20"/>
      <c r="D117" s="20"/>
      <c r="E117" s="20"/>
      <c r="F117" s="20"/>
      <c r="G117" s="24"/>
      <c r="H117" s="7"/>
      <c r="I117" s="9"/>
      <c r="J117" s="9"/>
      <c r="K117" s="9"/>
      <c r="L117" s="8"/>
      <c r="M117" s="8"/>
      <c r="N117" s="8"/>
      <c r="P117" s="8"/>
      <c r="Q117" s="8"/>
      <c r="R117" s="8"/>
      <c r="S117" s="8"/>
      <c r="T117" s="8"/>
      <c r="U117" s="9"/>
      <c r="V117" s="9"/>
      <c r="W117" s="9">
        <f t="shared" si="34"/>
        <v>7852.3200225830078</v>
      </c>
    </row>
    <row r="118" spans="1:23" x14ac:dyDescent="0.2">
      <c r="A118" s="21"/>
      <c r="B118" s="19"/>
      <c r="C118" s="19"/>
      <c r="D118" s="19"/>
      <c r="E118" s="19"/>
      <c r="F118" s="19"/>
      <c r="G118" s="22"/>
      <c r="H118" s="7"/>
      <c r="I118" s="9"/>
      <c r="J118" s="9"/>
      <c r="K118" s="9"/>
      <c r="L118" s="8"/>
      <c r="M118" s="8"/>
      <c r="N118" s="8"/>
      <c r="P118" s="8"/>
      <c r="Q118" s="8"/>
      <c r="R118" s="8"/>
      <c r="S118" s="8"/>
      <c r="T118" s="8"/>
      <c r="U118" s="9"/>
      <c r="V118" s="9"/>
      <c r="W118" s="9">
        <f t="shared" si="34"/>
        <v>7852.3200225830078</v>
      </c>
    </row>
    <row r="119" spans="1:23" x14ac:dyDescent="0.2">
      <c r="A119" s="23"/>
      <c r="B119" s="20"/>
      <c r="C119" s="20"/>
      <c r="D119" s="20"/>
      <c r="E119" s="20"/>
      <c r="F119" s="20"/>
      <c r="G119" s="24"/>
      <c r="H119" s="7"/>
      <c r="I119" s="9"/>
      <c r="J119" s="9"/>
      <c r="K119" s="9"/>
      <c r="L119" s="8"/>
      <c r="M119" s="8"/>
      <c r="N119" s="8"/>
      <c r="P119" s="8"/>
      <c r="Q119" s="8"/>
      <c r="R119" s="8"/>
      <c r="S119" s="8"/>
      <c r="T119" s="8"/>
      <c r="U119" s="9"/>
      <c r="V119" s="9"/>
      <c r="W119" s="9">
        <f t="shared" si="34"/>
        <v>7852.3200225830078</v>
      </c>
    </row>
    <row r="120" spans="1:23" x14ac:dyDescent="0.2">
      <c r="A120" s="21"/>
      <c r="B120" s="19"/>
      <c r="C120" s="19"/>
      <c r="D120" s="19"/>
      <c r="E120" s="19"/>
      <c r="F120" s="19"/>
      <c r="G120" s="22"/>
      <c r="H120" s="7"/>
      <c r="I120" s="9"/>
      <c r="J120" s="9"/>
      <c r="K120" s="9"/>
      <c r="L120" s="8"/>
      <c r="M120" s="8"/>
      <c r="N120" s="8"/>
      <c r="P120" s="8"/>
      <c r="Q120" s="8"/>
      <c r="R120" s="8"/>
      <c r="S120" s="8"/>
      <c r="T120" s="8"/>
      <c r="U120" s="9"/>
      <c r="V120" s="9"/>
      <c r="W120" s="9">
        <f t="shared" si="34"/>
        <v>7852.3200225830078</v>
      </c>
    </row>
    <row r="121" spans="1:23" x14ac:dyDescent="0.2">
      <c r="A121" s="23"/>
      <c r="B121" s="20"/>
      <c r="C121" s="20"/>
      <c r="D121" s="20"/>
      <c r="E121" s="20"/>
      <c r="F121" s="20"/>
      <c r="G121" s="24"/>
      <c r="H121" s="7"/>
      <c r="I121" s="9"/>
      <c r="J121" s="9"/>
      <c r="K121" s="9"/>
      <c r="L121" s="8"/>
      <c r="M121" s="8"/>
      <c r="N121" s="8"/>
      <c r="P121" s="8"/>
      <c r="Q121" s="8"/>
      <c r="R121" s="8"/>
      <c r="S121" s="8"/>
      <c r="T121" s="8"/>
      <c r="U121" s="9"/>
      <c r="V121" s="9"/>
      <c r="W121" s="9">
        <f t="shared" si="34"/>
        <v>7852.3200225830078</v>
      </c>
    </row>
    <row r="122" spans="1:23" x14ac:dyDescent="0.2">
      <c r="A122" s="21"/>
      <c r="B122" s="19"/>
      <c r="C122" s="19"/>
      <c r="D122" s="19"/>
      <c r="E122" s="19"/>
      <c r="F122" s="19"/>
      <c r="G122" s="22"/>
      <c r="H122" s="7"/>
      <c r="I122" s="9"/>
      <c r="J122" s="9"/>
      <c r="K122" s="9"/>
      <c r="L122" s="8"/>
      <c r="M122" s="8"/>
      <c r="N122" s="8"/>
      <c r="P122" s="8"/>
      <c r="Q122" s="8"/>
      <c r="R122" s="8"/>
      <c r="S122" s="8"/>
      <c r="T122" s="8"/>
      <c r="U122" s="9"/>
      <c r="V122" s="9"/>
      <c r="W122" s="9">
        <f t="shared" si="34"/>
        <v>7852.3200225830078</v>
      </c>
    </row>
    <row r="123" spans="1:23" x14ac:dyDescent="0.2">
      <c r="A123" s="23"/>
      <c r="B123" s="20"/>
      <c r="C123" s="20"/>
      <c r="D123" s="20"/>
      <c r="E123" s="20"/>
      <c r="F123" s="20"/>
      <c r="G123" s="24"/>
      <c r="H123" s="7"/>
      <c r="I123" s="9"/>
      <c r="J123" s="9"/>
      <c r="K123" s="9"/>
      <c r="L123" s="8"/>
      <c r="M123" s="8"/>
      <c r="N123" s="8"/>
      <c r="P123" s="8"/>
      <c r="Q123" s="8"/>
      <c r="R123" s="8"/>
      <c r="S123" s="8"/>
      <c r="T123" s="8"/>
      <c r="U123" s="9"/>
      <c r="V123" s="9"/>
      <c r="W123" s="9">
        <f t="shared" si="34"/>
        <v>7852.3200225830078</v>
      </c>
    </row>
    <row r="124" spans="1:23" x14ac:dyDescent="0.2">
      <c r="A124" s="21"/>
      <c r="B124" s="19"/>
      <c r="C124" s="19"/>
      <c r="D124" s="19"/>
      <c r="E124" s="19"/>
      <c r="F124" s="19"/>
      <c r="G124" s="22"/>
      <c r="H124" s="7"/>
      <c r="I124" s="9"/>
      <c r="J124" s="9"/>
      <c r="K124" s="9"/>
      <c r="L124" s="8"/>
      <c r="M124" s="8"/>
      <c r="N124" s="8"/>
      <c r="P124" s="8"/>
      <c r="Q124" s="8"/>
      <c r="R124" s="8"/>
      <c r="S124" s="8"/>
      <c r="T124" s="8"/>
      <c r="U124" s="9"/>
      <c r="V124" s="9"/>
      <c r="W124" s="9">
        <f t="shared" si="34"/>
        <v>7852.3200225830078</v>
      </c>
    </row>
    <row r="125" spans="1:23" x14ac:dyDescent="0.2">
      <c r="A125" s="23"/>
      <c r="B125" s="20"/>
      <c r="C125" s="20"/>
      <c r="D125" s="20"/>
      <c r="E125" s="20"/>
      <c r="F125" s="20"/>
      <c r="G125" s="24"/>
      <c r="H125" s="7"/>
      <c r="I125" s="9"/>
      <c r="J125" s="9"/>
      <c r="K125" s="9"/>
      <c r="L125" s="8"/>
      <c r="M125" s="8"/>
      <c r="N125" s="8"/>
      <c r="P125" s="8"/>
      <c r="Q125" s="8"/>
      <c r="R125" s="8"/>
      <c r="S125" s="8"/>
      <c r="T125" s="8"/>
      <c r="U125" s="9"/>
      <c r="V125" s="9"/>
      <c r="W125" s="9">
        <f t="shared" si="34"/>
        <v>7852.3200225830078</v>
      </c>
    </row>
    <row r="126" spans="1:23" x14ac:dyDescent="0.2">
      <c r="A126" s="21"/>
      <c r="B126" s="19"/>
      <c r="C126" s="19"/>
      <c r="D126" s="19"/>
      <c r="E126" s="19"/>
      <c r="F126" s="19"/>
      <c r="G126" s="22"/>
      <c r="H126" s="7"/>
      <c r="I126" s="9"/>
      <c r="J126" s="9"/>
      <c r="K126" s="9"/>
      <c r="L126" s="8"/>
      <c r="M126" s="8"/>
      <c r="N126" s="8"/>
      <c r="P126" s="8"/>
      <c r="Q126" s="8"/>
      <c r="R126" s="8"/>
      <c r="S126" s="8"/>
      <c r="T126" s="8"/>
      <c r="U126" s="9"/>
      <c r="V126" s="9"/>
      <c r="W126" s="9">
        <f t="shared" si="34"/>
        <v>7852.3200225830078</v>
      </c>
    </row>
    <row r="127" spans="1:23" x14ac:dyDescent="0.2">
      <c r="A127" s="23"/>
      <c r="B127" s="20"/>
      <c r="C127" s="20"/>
      <c r="D127" s="20"/>
      <c r="E127" s="20"/>
      <c r="F127" s="20"/>
      <c r="G127" s="24"/>
      <c r="H127" s="7"/>
      <c r="I127" s="9"/>
      <c r="J127" s="9"/>
      <c r="K127" s="9"/>
      <c r="L127" s="8"/>
      <c r="M127" s="8"/>
      <c r="N127" s="8"/>
      <c r="P127" s="8"/>
      <c r="Q127" s="8"/>
      <c r="R127" s="8"/>
      <c r="S127" s="8"/>
      <c r="T127" s="8"/>
      <c r="U127" s="9"/>
      <c r="V127" s="9"/>
      <c r="W127" s="9">
        <f t="shared" si="34"/>
        <v>7852.3200225830078</v>
      </c>
    </row>
    <row r="128" spans="1:23" x14ac:dyDescent="0.2">
      <c r="A128" s="21"/>
      <c r="B128" s="19"/>
      <c r="C128" s="19"/>
      <c r="D128" s="19"/>
      <c r="E128" s="19"/>
      <c r="F128" s="19"/>
      <c r="G128" s="22"/>
      <c r="H128" s="7"/>
      <c r="I128" s="9"/>
      <c r="J128" s="9"/>
      <c r="K128" s="9"/>
      <c r="L128" s="8"/>
      <c r="M128" s="8"/>
      <c r="N128" s="8"/>
      <c r="P128" s="8"/>
      <c r="Q128" s="8"/>
      <c r="R128" s="8"/>
      <c r="S128" s="8"/>
      <c r="T128" s="8"/>
      <c r="U128" s="9"/>
      <c r="V128" s="9"/>
      <c r="W128" s="9">
        <f t="shared" si="34"/>
        <v>7852.3200225830078</v>
      </c>
    </row>
    <row r="129" spans="1:23" x14ac:dyDescent="0.2">
      <c r="A129" s="23"/>
      <c r="B129" s="20"/>
      <c r="C129" s="20"/>
      <c r="D129" s="20"/>
      <c r="E129" s="20"/>
      <c r="F129" s="20"/>
      <c r="G129" s="24"/>
      <c r="H129" s="7"/>
      <c r="I129" s="9"/>
      <c r="J129" s="9"/>
      <c r="K129" s="9"/>
      <c r="L129" s="8"/>
      <c r="M129" s="8"/>
      <c r="N129" s="8"/>
      <c r="P129" s="8"/>
      <c r="Q129" s="8"/>
      <c r="R129" s="8"/>
      <c r="S129" s="8"/>
      <c r="T129" s="8"/>
      <c r="U129" s="9"/>
      <c r="V129" s="9"/>
      <c r="W129" s="9">
        <f t="shared" si="34"/>
        <v>7852.3200225830078</v>
      </c>
    </row>
    <row r="130" spans="1:23" x14ac:dyDescent="0.2">
      <c r="A130" s="21"/>
      <c r="B130" s="19"/>
      <c r="C130" s="19"/>
      <c r="D130" s="19"/>
      <c r="E130" s="19"/>
      <c r="F130" s="19"/>
      <c r="G130" s="22"/>
      <c r="H130" s="7"/>
      <c r="I130" s="9"/>
      <c r="J130" s="9"/>
      <c r="K130" s="9"/>
      <c r="L130" s="8"/>
      <c r="M130" s="8"/>
      <c r="N130" s="8"/>
      <c r="P130" s="8"/>
      <c r="Q130" s="8"/>
      <c r="R130" s="8"/>
      <c r="S130" s="8"/>
      <c r="T130" s="8"/>
      <c r="U130" s="9"/>
      <c r="V130" s="9"/>
      <c r="W130" s="9">
        <f t="shared" si="34"/>
        <v>7852.3200225830078</v>
      </c>
    </row>
    <row r="131" spans="1:23" x14ac:dyDescent="0.2">
      <c r="A131" s="23"/>
      <c r="B131" s="20"/>
      <c r="C131" s="20"/>
      <c r="D131" s="20"/>
      <c r="E131" s="20"/>
      <c r="F131" s="20"/>
      <c r="G131" s="24"/>
      <c r="H131" s="7"/>
      <c r="I131" s="9"/>
      <c r="J131" s="9"/>
      <c r="K131" s="9"/>
      <c r="L131" s="8"/>
      <c r="M131" s="8"/>
      <c r="N131" s="8"/>
      <c r="P131" s="8"/>
      <c r="Q131" s="8"/>
      <c r="R131" s="8"/>
      <c r="S131" s="8"/>
      <c r="T131" s="8"/>
      <c r="U131" s="9"/>
      <c r="V131" s="9"/>
      <c r="W131" s="9">
        <f t="shared" si="34"/>
        <v>7852.3200225830078</v>
      </c>
    </row>
    <row r="132" spans="1:23" x14ac:dyDescent="0.2">
      <c r="A132" s="21"/>
      <c r="B132" s="19"/>
      <c r="C132" s="19"/>
      <c r="D132" s="19"/>
      <c r="E132" s="19"/>
      <c r="F132" s="19"/>
      <c r="G132" s="22"/>
      <c r="H132" s="7"/>
      <c r="I132" s="9"/>
      <c r="J132" s="9"/>
      <c r="K132" s="9"/>
      <c r="L132" s="8"/>
      <c r="M132" s="8"/>
      <c r="N132" s="8"/>
      <c r="P132" s="8"/>
      <c r="Q132" s="8"/>
      <c r="R132" s="8"/>
      <c r="S132" s="8"/>
      <c r="T132" s="8"/>
      <c r="U132" s="9"/>
      <c r="V132" s="9"/>
      <c r="W132" s="9">
        <f t="shared" ref="W132:W193" si="35">W131+V132</f>
        <v>7852.3200225830078</v>
      </c>
    </row>
    <row r="133" spans="1:23" x14ac:dyDescent="0.2">
      <c r="A133" s="23"/>
      <c r="B133" s="20"/>
      <c r="C133" s="20"/>
      <c r="D133" s="20"/>
      <c r="E133" s="20"/>
      <c r="F133" s="20"/>
      <c r="G133" s="24"/>
      <c r="H133" s="7"/>
      <c r="I133" s="9"/>
      <c r="J133" s="9"/>
      <c r="K133" s="9"/>
      <c r="L133" s="8"/>
      <c r="M133" s="8"/>
      <c r="N133" s="8"/>
      <c r="P133" s="8"/>
      <c r="Q133" s="8"/>
      <c r="R133" s="8"/>
      <c r="S133" s="8"/>
      <c r="T133" s="8"/>
      <c r="U133" s="9"/>
      <c r="V133" s="9"/>
      <c r="W133" s="9">
        <f t="shared" si="35"/>
        <v>7852.3200225830078</v>
      </c>
    </row>
    <row r="134" spans="1:23" x14ac:dyDescent="0.2">
      <c r="A134" s="21"/>
      <c r="B134" s="19"/>
      <c r="C134" s="19"/>
      <c r="D134" s="19"/>
      <c r="E134" s="19"/>
      <c r="F134" s="19"/>
      <c r="G134" s="22"/>
      <c r="H134" s="7"/>
      <c r="I134" s="9"/>
      <c r="J134" s="9"/>
      <c r="K134" s="9"/>
      <c r="L134" s="8"/>
      <c r="M134" s="8"/>
      <c r="N134" s="8"/>
      <c r="P134" s="8"/>
      <c r="Q134" s="8"/>
      <c r="R134" s="8"/>
      <c r="S134" s="8"/>
      <c r="T134" s="8"/>
      <c r="U134" s="9"/>
      <c r="V134" s="9"/>
      <c r="W134" s="9">
        <f t="shared" si="35"/>
        <v>7852.3200225830078</v>
      </c>
    </row>
    <row r="135" spans="1:23" x14ac:dyDescent="0.2">
      <c r="A135" s="23"/>
      <c r="B135" s="20"/>
      <c r="C135" s="20"/>
      <c r="D135" s="20"/>
      <c r="E135" s="20"/>
      <c r="F135" s="20"/>
      <c r="G135" s="24"/>
      <c r="H135" s="7"/>
      <c r="I135" s="9"/>
      <c r="J135" s="9"/>
      <c r="K135" s="9"/>
      <c r="L135" s="8"/>
      <c r="M135" s="8"/>
      <c r="N135" s="8"/>
      <c r="P135" s="8"/>
      <c r="Q135" s="8"/>
      <c r="R135" s="8"/>
      <c r="S135" s="8"/>
      <c r="T135" s="8"/>
      <c r="U135" s="9"/>
      <c r="V135" s="9"/>
      <c r="W135" s="9">
        <f t="shared" si="35"/>
        <v>7852.3200225830078</v>
      </c>
    </row>
    <row r="136" spans="1:23" x14ac:dyDescent="0.2">
      <c r="A136" s="21"/>
      <c r="B136" s="19"/>
      <c r="C136" s="19"/>
      <c r="D136" s="19"/>
      <c r="E136" s="19"/>
      <c r="F136" s="19"/>
      <c r="G136" s="22"/>
      <c r="H136" s="7"/>
      <c r="I136" s="9"/>
      <c r="J136" s="9"/>
      <c r="K136" s="9"/>
      <c r="L136" s="8"/>
      <c r="M136" s="8"/>
      <c r="N136" s="8"/>
      <c r="P136" s="8"/>
      <c r="Q136" s="8"/>
      <c r="R136" s="8"/>
      <c r="S136" s="8"/>
      <c r="T136" s="8"/>
      <c r="U136" s="9"/>
      <c r="V136" s="9"/>
      <c r="W136" s="9">
        <f t="shared" si="35"/>
        <v>7852.3200225830078</v>
      </c>
    </row>
    <row r="137" spans="1:23" x14ac:dyDescent="0.2">
      <c r="A137" s="23"/>
      <c r="B137" s="20"/>
      <c r="C137" s="20"/>
      <c r="D137" s="20"/>
      <c r="E137" s="20"/>
      <c r="F137" s="20"/>
      <c r="G137" s="24"/>
      <c r="H137" s="7"/>
      <c r="I137" s="9"/>
      <c r="J137" s="9"/>
      <c r="K137" s="9"/>
      <c r="L137" s="8"/>
      <c r="M137" s="8"/>
      <c r="N137" s="8"/>
      <c r="P137" s="8"/>
      <c r="Q137" s="8"/>
      <c r="R137" s="8"/>
      <c r="S137" s="8"/>
      <c r="T137" s="8"/>
      <c r="U137" s="9"/>
      <c r="V137" s="9"/>
      <c r="W137" s="9">
        <f t="shared" si="35"/>
        <v>7852.3200225830078</v>
      </c>
    </row>
    <row r="138" spans="1:23" x14ac:dyDescent="0.2">
      <c r="A138" s="21"/>
      <c r="B138" s="19"/>
      <c r="C138" s="19"/>
      <c r="D138" s="19"/>
      <c r="E138" s="19"/>
      <c r="F138" s="19"/>
      <c r="G138" s="22"/>
      <c r="H138" s="7"/>
      <c r="I138" s="9"/>
      <c r="J138" s="9"/>
      <c r="K138" s="9"/>
      <c r="L138" s="8"/>
      <c r="M138" s="8"/>
      <c r="N138" s="8"/>
      <c r="P138" s="8"/>
      <c r="Q138" s="8"/>
      <c r="R138" s="8"/>
      <c r="S138" s="8"/>
      <c r="T138" s="8"/>
      <c r="U138" s="9"/>
      <c r="V138" s="9"/>
      <c r="W138" s="9">
        <f t="shared" si="35"/>
        <v>7852.3200225830078</v>
      </c>
    </row>
    <row r="139" spans="1:23" x14ac:dyDescent="0.2">
      <c r="A139" s="23"/>
      <c r="B139" s="20"/>
      <c r="C139" s="20"/>
      <c r="D139" s="20"/>
      <c r="E139" s="20"/>
      <c r="F139" s="20"/>
      <c r="G139" s="24"/>
      <c r="H139" s="7"/>
      <c r="I139" s="9"/>
      <c r="J139" s="9"/>
      <c r="K139" s="9"/>
      <c r="L139" s="8"/>
      <c r="M139" s="8"/>
      <c r="N139" s="8"/>
      <c r="P139" s="8"/>
      <c r="Q139" s="8"/>
      <c r="R139" s="8"/>
      <c r="S139" s="8"/>
      <c r="T139" s="8"/>
      <c r="U139" s="9"/>
      <c r="V139" s="9"/>
      <c r="W139" s="9">
        <f t="shared" si="35"/>
        <v>7852.3200225830078</v>
      </c>
    </row>
    <row r="140" spans="1:23" x14ac:dyDescent="0.2">
      <c r="A140" s="21"/>
      <c r="B140" s="19"/>
      <c r="C140" s="19"/>
      <c r="D140" s="19"/>
      <c r="E140" s="19"/>
      <c r="F140" s="19"/>
      <c r="G140" s="22"/>
      <c r="H140" s="7"/>
      <c r="I140" s="9"/>
      <c r="J140" s="9"/>
      <c r="K140" s="9"/>
      <c r="L140" s="8"/>
      <c r="M140" s="8"/>
      <c r="N140" s="8"/>
      <c r="P140" s="8"/>
      <c r="Q140" s="8"/>
      <c r="R140" s="8"/>
      <c r="S140" s="8"/>
      <c r="T140" s="8"/>
      <c r="U140" s="9"/>
      <c r="V140" s="9"/>
      <c r="W140" s="9">
        <f t="shared" si="35"/>
        <v>7852.3200225830078</v>
      </c>
    </row>
    <row r="141" spans="1:23" x14ac:dyDescent="0.2">
      <c r="A141" s="23"/>
      <c r="B141" s="20"/>
      <c r="C141" s="20"/>
      <c r="D141" s="20"/>
      <c r="E141" s="20"/>
      <c r="F141" s="20"/>
      <c r="G141" s="24"/>
      <c r="H141" s="7"/>
      <c r="I141" s="9"/>
      <c r="J141" s="9"/>
      <c r="K141" s="9"/>
      <c r="L141" s="8"/>
      <c r="M141" s="8"/>
      <c r="N141" s="8"/>
      <c r="P141" s="8"/>
      <c r="Q141" s="8"/>
      <c r="R141" s="8"/>
      <c r="S141" s="8"/>
      <c r="T141" s="8"/>
      <c r="U141" s="9"/>
      <c r="V141" s="9"/>
      <c r="W141" s="9">
        <f t="shared" si="35"/>
        <v>7852.3200225830078</v>
      </c>
    </row>
    <row r="142" spans="1:23" x14ac:dyDescent="0.2">
      <c r="A142" s="21"/>
      <c r="B142" s="19"/>
      <c r="C142" s="19"/>
      <c r="D142" s="19"/>
      <c r="E142" s="19"/>
      <c r="F142" s="19"/>
      <c r="G142" s="22"/>
      <c r="H142" s="7"/>
      <c r="I142" s="9"/>
      <c r="J142" s="9"/>
      <c r="K142" s="9"/>
      <c r="L142" s="8"/>
      <c r="M142" s="8"/>
      <c r="N142" s="8"/>
      <c r="P142" s="8"/>
      <c r="Q142" s="8"/>
      <c r="R142" s="8"/>
      <c r="S142" s="8"/>
      <c r="T142" s="8"/>
      <c r="U142" s="9"/>
      <c r="V142" s="9"/>
      <c r="W142" s="9">
        <f t="shared" si="35"/>
        <v>7852.3200225830078</v>
      </c>
    </row>
    <row r="143" spans="1:23" x14ac:dyDescent="0.2">
      <c r="A143" s="23"/>
      <c r="B143" s="20"/>
      <c r="C143" s="20"/>
      <c r="D143" s="20"/>
      <c r="E143" s="20"/>
      <c r="F143" s="20"/>
      <c r="G143" s="24"/>
      <c r="H143" s="7"/>
      <c r="I143" s="9"/>
      <c r="J143" s="9"/>
      <c r="K143" s="9"/>
      <c r="L143" s="8"/>
      <c r="M143" s="8"/>
      <c r="N143" s="8"/>
      <c r="P143" s="8"/>
      <c r="Q143" s="8"/>
      <c r="R143" s="8"/>
      <c r="S143" s="8"/>
      <c r="T143" s="8"/>
      <c r="U143" s="9"/>
      <c r="V143" s="9"/>
      <c r="W143" s="9">
        <f t="shared" si="35"/>
        <v>7852.3200225830078</v>
      </c>
    </row>
    <row r="144" spans="1:23" x14ac:dyDescent="0.2">
      <c r="A144" s="21"/>
      <c r="B144" s="19"/>
      <c r="C144" s="19"/>
      <c r="D144" s="19"/>
      <c r="E144" s="19"/>
      <c r="F144" s="19"/>
      <c r="G144" s="22"/>
      <c r="H144" s="7"/>
      <c r="I144" s="9"/>
      <c r="J144" s="9"/>
      <c r="K144" s="9"/>
      <c r="L144" s="8"/>
      <c r="M144" s="8"/>
      <c r="N144" s="8"/>
      <c r="P144" s="8"/>
      <c r="Q144" s="8"/>
      <c r="R144" s="8"/>
      <c r="S144" s="8"/>
      <c r="T144" s="8"/>
      <c r="U144" s="9"/>
      <c r="V144" s="9"/>
      <c r="W144" s="9">
        <f t="shared" si="35"/>
        <v>7852.3200225830078</v>
      </c>
    </row>
    <row r="145" spans="1:23" x14ac:dyDescent="0.2">
      <c r="A145" s="23"/>
      <c r="B145" s="20"/>
      <c r="C145" s="20"/>
      <c r="D145" s="20"/>
      <c r="E145" s="20"/>
      <c r="F145" s="20"/>
      <c r="G145" s="24"/>
      <c r="H145" s="7"/>
      <c r="I145" s="9"/>
      <c r="J145" s="9"/>
      <c r="K145" s="9"/>
      <c r="L145" s="8"/>
      <c r="M145" s="8"/>
      <c r="N145" s="8"/>
      <c r="P145" s="8"/>
      <c r="Q145" s="8"/>
      <c r="R145" s="8"/>
      <c r="S145" s="8"/>
      <c r="T145" s="8"/>
      <c r="U145" s="9"/>
      <c r="V145" s="9"/>
      <c r="W145" s="9">
        <f t="shared" si="35"/>
        <v>7852.3200225830078</v>
      </c>
    </row>
    <row r="146" spans="1:23" x14ac:dyDescent="0.2">
      <c r="A146" s="21"/>
      <c r="B146" s="19"/>
      <c r="C146" s="19"/>
      <c r="D146" s="19"/>
      <c r="E146" s="19"/>
      <c r="F146" s="19"/>
      <c r="G146" s="22"/>
      <c r="H146" s="7"/>
      <c r="I146" s="9"/>
      <c r="J146" s="9"/>
      <c r="K146" s="9"/>
      <c r="L146" s="8"/>
      <c r="M146" s="8"/>
      <c r="N146" s="8"/>
      <c r="P146" s="8"/>
      <c r="Q146" s="8"/>
      <c r="R146" s="8"/>
      <c r="S146" s="8"/>
      <c r="T146" s="8"/>
      <c r="U146" s="9"/>
      <c r="V146" s="9"/>
      <c r="W146" s="9">
        <f t="shared" si="35"/>
        <v>7852.3200225830078</v>
      </c>
    </row>
    <row r="147" spans="1:23" x14ac:dyDescent="0.2">
      <c r="A147" s="23"/>
      <c r="B147" s="20"/>
      <c r="C147" s="20"/>
      <c r="D147" s="20"/>
      <c r="E147" s="20"/>
      <c r="F147" s="20"/>
      <c r="G147" s="24"/>
      <c r="H147" s="7"/>
      <c r="I147" s="9"/>
      <c r="J147" s="9"/>
      <c r="K147" s="9"/>
      <c r="L147" s="8"/>
      <c r="M147" s="8"/>
      <c r="N147" s="8"/>
      <c r="P147" s="8"/>
      <c r="Q147" s="8"/>
      <c r="R147" s="8"/>
      <c r="S147" s="8"/>
      <c r="T147" s="8"/>
      <c r="U147" s="9"/>
      <c r="V147" s="9"/>
      <c r="W147" s="9">
        <f t="shared" si="35"/>
        <v>7852.3200225830078</v>
      </c>
    </row>
    <row r="148" spans="1:23" x14ac:dyDescent="0.2">
      <c r="A148" s="21"/>
      <c r="B148" s="19"/>
      <c r="C148" s="19"/>
      <c r="D148" s="19"/>
      <c r="E148" s="19"/>
      <c r="F148" s="19"/>
      <c r="G148" s="22"/>
      <c r="H148" s="7"/>
      <c r="I148" s="9"/>
      <c r="J148" s="9"/>
      <c r="K148" s="9"/>
      <c r="L148" s="8"/>
      <c r="M148" s="8"/>
      <c r="N148" s="8"/>
      <c r="P148" s="8"/>
      <c r="Q148" s="8"/>
      <c r="R148" s="8"/>
      <c r="S148" s="8"/>
      <c r="T148" s="8"/>
      <c r="U148" s="9"/>
      <c r="V148" s="9"/>
      <c r="W148" s="9">
        <f t="shared" si="35"/>
        <v>7852.3200225830078</v>
      </c>
    </row>
    <row r="149" spans="1:23" x14ac:dyDescent="0.2">
      <c r="A149" s="23"/>
      <c r="B149" s="20"/>
      <c r="C149" s="20"/>
      <c r="D149" s="20"/>
      <c r="E149" s="20"/>
      <c r="F149" s="20"/>
      <c r="G149" s="24"/>
      <c r="H149" s="7"/>
      <c r="I149" s="9"/>
      <c r="J149" s="9"/>
      <c r="K149" s="9"/>
      <c r="L149" s="8"/>
      <c r="M149" s="8"/>
      <c r="N149" s="8"/>
      <c r="P149" s="8"/>
      <c r="Q149" s="8"/>
      <c r="R149" s="8"/>
      <c r="S149" s="8"/>
      <c r="T149" s="8"/>
      <c r="U149" s="9"/>
      <c r="V149" s="9"/>
      <c r="W149" s="9">
        <f t="shared" si="35"/>
        <v>7852.3200225830078</v>
      </c>
    </row>
    <row r="150" spans="1:23" x14ac:dyDescent="0.2">
      <c r="A150" s="21"/>
      <c r="B150" s="19"/>
      <c r="C150" s="19"/>
      <c r="D150" s="19"/>
      <c r="E150" s="19"/>
      <c r="F150" s="19"/>
      <c r="G150" s="22"/>
      <c r="H150" s="7"/>
      <c r="I150" s="9"/>
      <c r="J150" s="9"/>
      <c r="K150" s="9"/>
      <c r="L150" s="8"/>
      <c r="M150" s="8"/>
      <c r="N150" s="8"/>
      <c r="P150" s="8"/>
      <c r="Q150" s="8"/>
      <c r="R150" s="8"/>
      <c r="S150" s="8"/>
      <c r="T150" s="8"/>
      <c r="U150" s="9"/>
      <c r="V150" s="9"/>
      <c r="W150" s="9">
        <f t="shared" si="35"/>
        <v>7852.3200225830078</v>
      </c>
    </row>
    <row r="151" spans="1:23" x14ac:dyDescent="0.2">
      <c r="A151" s="23"/>
      <c r="B151" s="20"/>
      <c r="C151" s="20"/>
      <c r="D151" s="20"/>
      <c r="E151" s="20"/>
      <c r="F151" s="20"/>
      <c r="G151" s="24"/>
      <c r="H151" s="7"/>
      <c r="I151" s="9"/>
      <c r="J151" s="9"/>
      <c r="K151" s="9"/>
      <c r="L151" s="8"/>
      <c r="M151" s="8"/>
      <c r="N151" s="8"/>
      <c r="P151" s="8"/>
      <c r="Q151" s="8"/>
      <c r="R151" s="8"/>
      <c r="S151" s="8"/>
      <c r="T151" s="8"/>
      <c r="U151" s="9"/>
      <c r="V151" s="9"/>
      <c r="W151" s="9">
        <f t="shared" si="35"/>
        <v>7852.3200225830078</v>
      </c>
    </row>
    <row r="152" spans="1:23" x14ac:dyDescent="0.2">
      <c r="A152" s="21"/>
      <c r="B152" s="19"/>
      <c r="C152" s="19"/>
      <c r="D152" s="19"/>
      <c r="E152" s="19"/>
      <c r="F152" s="19"/>
      <c r="G152" s="22"/>
      <c r="H152" s="7"/>
      <c r="I152" s="9"/>
      <c r="J152" s="9"/>
      <c r="K152" s="9"/>
      <c r="L152" s="8"/>
      <c r="M152" s="8"/>
      <c r="N152" s="8"/>
      <c r="P152" s="8"/>
      <c r="Q152" s="8"/>
      <c r="R152" s="8"/>
      <c r="S152" s="8"/>
      <c r="T152" s="8"/>
      <c r="U152" s="9"/>
      <c r="V152" s="9"/>
      <c r="W152" s="9">
        <f t="shared" si="35"/>
        <v>7852.3200225830078</v>
      </c>
    </row>
    <row r="153" spans="1:23" x14ac:dyDescent="0.2">
      <c r="A153" s="23"/>
      <c r="B153" s="20"/>
      <c r="C153" s="20"/>
      <c r="D153" s="20"/>
      <c r="E153" s="20"/>
      <c r="F153" s="20"/>
      <c r="G153" s="24"/>
      <c r="I153" s="9"/>
      <c r="J153" s="9"/>
      <c r="K153" s="9"/>
      <c r="L153" s="8"/>
      <c r="M153" s="8"/>
      <c r="N153" s="8"/>
      <c r="P153" s="8"/>
      <c r="Q153" s="8"/>
      <c r="R153" s="8"/>
      <c r="S153" s="8"/>
      <c r="T153" s="8"/>
      <c r="U153" s="9"/>
      <c r="V153" s="9"/>
      <c r="W153" s="9">
        <f t="shared" si="35"/>
        <v>7852.3200225830078</v>
      </c>
    </row>
    <row r="154" spans="1:23" x14ac:dyDescent="0.2">
      <c r="A154" s="21"/>
      <c r="B154" s="19"/>
      <c r="C154" s="19"/>
      <c r="D154" s="19"/>
      <c r="E154" s="19"/>
      <c r="F154" s="19"/>
      <c r="G154" s="22"/>
      <c r="I154" s="9"/>
      <c r="J154" s="9"/>
      <c r="K154" s="9"/>
      <c r="L154" s="8"/>
      <c r="M154" s="8"/>
      <c r="N154" s="8"/>
      <c r="P154" s="8"/>
      <c r="Q154" s="8"/>
      <c r="R154" s="8"/>
      <c r="S154" s="8"/>
      <c r="T154" s="8"/>
      <c r="U154" s="9"/>
      <c r="V154" s="9"/>
      <c r="W154" s="9">
        <f t="shared" si="35"/>
        <v>7852.3200225830078</v>
      </c>
    </row>
    <row r="155" spans="1:23" x14ac:dyDescent="0.2">
      <c r="A155" s="23"/>
      <c r="B155" s="20"/>
      <c r="C155" s="20"/>
      <c r="D155" s="20"/>
      <c r="E155" s="20"/>
      <c r="F155" s="20"/>
      <c r="G155" s="24"/>
      <c r="I155" s="9"/>
      <c r="J155" s="9"/>
      <c r="K155" s="9"/>
      <c r="L155" s="8"/>
      <c r="M155" s="8"/>
      <c r="N155" s="8"/>
      <c r="P155" s="8"/>
      <c r="Q155" s="8"/>
      <c r="R155" s="8"/>
      <c r="S155" s="8"/>
      <c r="T155" s="8"/>
      <c r="U155" s="9"/>
      <c r="V155" s="9"/>
      <c r="W155" s="9">
        <f t="shared" si="35"/>
        <v>7852.3200225830078</v>
      </c>
    </row>
    <row r="156" spans="1:23" x14ac:dyDescent="0.2">
      <c r="A156" s="21"/>
      <c r="B156" s="19"/>
      <c r="C156" s="19"/>
      <c r="D156" s="19"/>
      <c r="E156" s="19"/>
      <c r="F156" s="19"/>
      <c r="G156" s="22"/>
      <c r="I156" s="9">
        <f t="shared" ref="I156:I161" si="36">IF(EXACT(F156,"M"),C156,0)</f>
        <v>0</v>
      </c>
      <c r="J156" s="9">
        <f t="shared" ref="J156:J161" si="37">IF(EXACT(G156,"CheckingStarOneTXs"),C156,0)</f>
        <v>0</v>
      </c>
      <c r="K156" s="9">
        <f t="shared" ref="K156:K161" si="38">IF(AND(C156&lt;0,EXACT(G156,"VisaChaseTXs")),C156,0)</f>
        <v>0</v>
      </c>
      <c r="L156" s="8">
        <f t="shared" ref="L156:L161" si="39">IF(AND(AND(F156="",C156&lt;0),E156=""),C156,0)</f>
        <v>0</v>
      </c>
      <c r="M156" s="8">
        <f t="shared" ref="M156:M161" si="40">IF(F156="T",C156,0)</f>
        <v>0</v>
      </c>
      <c r="N156" s="8">
        <f t="shared" ref="N156:N161" si="41">IF(D156="Transfer Savings",C156,0)</f>
        <v>0</v>
      </c>
      <c r="P156" s="8">
        <f t="shared" ref="P156:P161" si="42">IF(AND(IF(C156&lt;0,C156,FALSE),E156&lt;&gt;"y"),C156,0)</f>
        <v>0</v>
      </c>
      <c r="Q156" s="8">
        <f t="shared" ref="Q156:Q164" si="43">P156</f>
        <v>0</v>
      </c>
      <c r="R156" s="8" t="str">
        <f>IF(ISBLANK(A156),"",ABS($AB$1-(A156+10)))</f>
        <v/>
      </c>
      <c r="S156" s="8" t="str">
        <f>IF(ISBLANK(A156),"",ABS($AB$2-(A156+$AA$5)))</f>
        <v/>
      </c>
      <c r="T156" s="8">
        <f t="shared" ref="T156:T170" si="44">T155+Q156</f>
        <v>0</v>
      </c>
      <c r="U156" s="9" t="str">
        <f t="shared" ref="U156:U178" si="45">IF(S156="","",ABS(T156))</f>
        <v/>
      </c>
      <c r="V156" s="9">
        <f t="shared" ref="V156:V193" si="46">IF(C156&gt;0,C156,0)</f>
        <v>0</v>
      </c>
      <c r="W156" s="9">
        <f t="shared" si="35"/>
        <v>7852.3200225830078</v>
      </c>
    </row>
    <row r="157" spans="1:23" x14ac:dyDescent="0.2">
      <c r="A157" s="23"/>
      <c r="B157" s="20"/>
      <c r="C157" s="20"/>
      <c r="D157" s="20"/>
      <c r="E157" s="20"/>
      <c r="F157" s="20"/>
      <c r="G157" s="24"/>
      <c r="I157" s="9">
        <f t="shared" si="36"/>
        <v>0</v>
      </c>
      <c r="J157" s="9">
        <f t="shared" si="37"/>
        <v>0</v>
      </c>
      <c r="K157" s="9">
        <f t="shared" si="38"/>
        <v>0</v>
      </c>
      <c r="L157" s="8">
        <f t="shared" si="39"/>
        <v>0</v>
      </c>
      <c r="M157" s="8">
        <f t="shared" si="40"/>
        <v>0</v>
      </c>
      <c r="N157" s="8">
        <f t="shared" si="41"/>
        <v>0</v>
      </c>
      <c r="P157" s="8">
        <f t="shared" si="42"/>
        <v>0</v>
      </c>
      <c r="Q157" s="8">
        <f t="shared" si="43"/>
        <v>0</v>
      </c>
      <c r="R157" s="8" t="str">
        <f>IF(ISBLANK(A157),"",ABS($AB$1-(A157+10)))</f>
        <v/>
      </c>
      <c r="S157" s="8" t="str">
        <f>IF(ISBLANK(A157),"",ABS($AB$2-(A157+$AA$5)))</f>
        <v/>
      </c>
      <c r="T157" s="8">
        <f t="shared" si="44"/>
        <v>0</v>
      </c>
      <c r="U157" s="9" t="str">
        <f t="shared" si="45"/>
        <v/>
      </c>
      <c r="V157" s="9">
        <f t="shared" si="46"/>
        <v>0</v>
      </c>
      <c r="W157" s="9">
        <f t="shared" si="35"/>
        <v>7852.3200225830078</v>
      </c>
    </row>
    <row r="158" spans="1:23" x14ac:dyDescent="0.2">
      <c r="A158" s="21"/>
      <c r="B158" s="19"/>
      <c r="C158" s="19"/>
      <c r="D158" s="19"/>
      <c r="E158" s="19"/>
      <c r="F158" s="19"/>
      <c r="G158" s="22"/>
      <c r="I158" s="9">
        <f t="shared" si="36"/>
        <v>0</v>
      </c>
      <c r="J158" s="9">
        <f t="shared" si="37"/>
        <v>0</v>
      </c>
      <c r="K158" s="9">
        <f t="shared" si="38"/>
        <v>0</v>
      </c>
      <c r="L158" s="8">
        <f t="shared" si="39"/>
        <v>0</v>
      </c>
      <c r="M158" s="8">
        <f t="shared" si="40"/>
        <v>0</v>
      </c>
      <c r="N158" s="8">
        <f t="shared" si="41"/>
        <v>0</v>
      </c>
      <c r="P158" s="8">
        <f t="shared" si="42"/>
        <v>0</v>
      </c>
      <c r="Q158" s="8">
        <f t="shared" si="43"/>
        <v>0</v>
      </c>
      <c r="R158" s="8" t="str">
        <f>IF(ISBLANK(A158),"",ABS($AB$1-(A158+10)))</f>
        <v/>
      </c>
      <c r="S158" s="8" t="str">
        <f>IF(ISBLANK(A158),"",ABS($AB$2-(A158+$AA$5)))</f>
        <v/>
      </c>
      <c r="T158" s="8">
        <f t="shared" si="44"/>
        <v>0</v>
      </c>
      <c r="U158" s="9" t="str">
        <f t="shared" si="45"/>
        <v/>
      </c>
      <c r="V158" s="9">
        <f t="shared" si="46"/>
        <v>0</v>
      </c>
      <c r="W158" s="9">
        <f t="shared" si="35"/>
        <v>7852.3200225830078</v>
      </c>
    </row>
    <row r="159" spans="1:23" x14ac:dyDescent="0.2">
      <c r="A159" s="23"/>
      <c r="B159" s="20"/>
      <c r="C159" s="20"/>
      <c r="D159" s="20"/>
      <c r="E159" s="20"/>
      <c r="F159" s="20"/>
      <c r="G159" s="24"/>
      <c r="I159" s="9">
        <f t="shared" si="36"/>
        <v>0</v>
      </c>
      <c r="J159" s="9">
        <f t="shared" si="37"/>
        <v>0</v>
      </c>
      <c r="K159" s="9">
        <f t="shared" si="38"/>
        <v>0</v>
      </c>
      <c r="L159" s="8">
        <f t="shared" si="39"/>
        <v>0</v>
      </c>
      <c r="M159" s="8">
        <f t="shared" si="40"/>
        <v>0</v>
      </c>
      <c r="N159" s="8">
        <f t="shared" si="41"/>
        <v>0</v>
      </c>
      <c r="P159" s="8">
        <f t="shared" si="42"/>
        <v>0</v>
      </c>
      <c r="Q159" s="8">
        <f t="shared" si="43"/>
        <v>0</v>
      </c>
      <c r="R159" s="8" t="str">
        <f>IF(ISBLANK(A159),"",ABS($AB$1-(A159+10)))</f>
        <v/>
      </c>
      <c r="S159" s="8" t="str">
        <f>IF(ISBLANK(A159),"",ABS($AB$2-(A159+$AA$5)))</f>
        <v/>
      </c>
      <c r="T159" s="8">
        <f t="shared" si="44"/>
        <v>0</v>
      </c>
      <c r="U159" s="9" t="str">
        <f t="shared" si="45"/>
        <v/>
      </c>
      <c r="V159" s="9">
        <f t="shared" si="46"/>
        <v>0</v>
      </c>
      <c r="W159" s="9">
        <f t="shared" si="35"/>
        <v>7852.3200225830078</v>
      </c>
    </row>
    <row r="160" spans="1:23" x14ac:dyDescent="0.2">
      <c r="A160" s="21"/>
      <c r="B160" s="19"/>
      <c r="C160" s="19"/>
      <c r="D160" s="19"/>
      <c r="E160" s="19"/>
      <c r="F160" s="19"/>
      <c r="G160" s="22"/>
      <c r="I160" s="9">
        <f t="shared" si="36"/>
        <v>0</v>
      </c>
      <c r="J160" s="9">
        <f t="shared" si="37"/>
        <v>0</v>
      </c>
      <c r="K160" s="9">
        <f t="shared" si="38"/>
        <v>0</v>
      </c>
      <c r="L160" s="8">
        <f t="shared" si="39"/>
        <v>0</v>
      </c>
      <c r="M160" s="8">
        <f t="shared" si="40"/>
        <v>0</v>
      </c>
      <c r="N160" s="8">
        <f t="shared" si="41"/>
        <v>0</v>
      </c>
      <c r="P160" s="8">
        <f t="shared" si="42"/>
        <v>0</v>
      </c>
      <c r="Q160" s="8">
        <f t="shared" si="43"/>
        <v>0</v>
      </c>
      <c r="R160" s="8" t="str">
        <f>IF(ISBLANK(A160),"",ABS($AB$1-(A160+10)))</f>
        <v/>
      </c>
      <c r="S160" s="8" t="str">
        <f>IF(ISBLANK(A160),"",ABS($AB$2-(A160+$AA$5)))</f>
        <v/>
      </c>
      <c r="T160" s="8">
        <f t="shared" si="44"/>
        <v>0</v>
      </c>
      <c r="U160" s="9" t="str">
        <f t="shared" si="45"/>
        <v/>
      </c>
      <c r="V160" s="9">
        <f t="shared" si="46"/>
        <v>0</v>
      </c>
      <c r="W160" s="9">
        <f t="shared" si="35"/>
        <v>7852.3200225830078</v>
      </c>
    </row>
    <row r="161" spans="1:23" x14ac:dyDescent="0.2">
      <c r="A161" s="23"/>
      <c r="B161" s="20"/>
      <c r="C161" s="20"/>
      <c r="D161" s="20"/>
      <c r="E161" s="20"/>
      <c r="F161" s="20"/>
      <c r="G161" s="24"/>
      <c r="I161" s="9">
        <f t="shared" si="36"/>
        <v>0</v>
      </c>
      <c r="J161" s="9">
        <f t="shared" si="37"/>
        <v>0</v>
      </c>
      <c r="K161" s="9">
        <f t="shared" si="38"/>
        <v>0</v>
      </c>
      <c r="L161" s="8">
        <f t="shared" si="39"/>
        <v>0</v>
      </c>
      <c r="M161" s="8">
        <f t="shared" si="40"/>
        <v>0</v>
      </c>
      <c r="N161" s="8">
        <f t="shared" si="41"/>
        <v>0</v>
      </c>
      <c r="P161" s="8">
        <f t="shared" si="42"/>
        <v>0</v>
      </c>
      <c r="Q161" s="8">
        <f t="shared" si="43"/>
        <v>0</v>
      </c>
      <c r="R161" s="8" t="str">
        <f>IF(ISBLANK(A161),"",ABS($AB$1-(A161+10)))</f>
        <v/>
      </c>
      <c r="S161" s="8" t="str">
        <f>IF(ISBLANK(A161),"",ABS($AB$2-(A161+$AA$5)))</f>
        <v/>
      </c>
      <c r="T161" s="8">
        <f t="shared" si="44"/>
        <v>0</v>
      </c>
      <c r="U161" s="9" t="str">
        <f t="shared" si="45"/>
        <v/>
      </c>
      <c r="V161" s="9">
        <f t="shared" si="46"/>
        <v>0</v>
      </c>
      <c r="W161" s="9">
        <f t="shared" si="35"/>
        <v>7852.3200225830078</v>
      </c>
    </row>
    <row r="162" spans="1:23" x14ac:dyDescent="0.2">
      <c r="A162" s="21"/>
      <c r="B162" s="19"/>
      <c r="C162" s="19"/>
      <c r="D162" s="19"/>
      <c r="E162" s="19"/>
      <c r="F162" s="19"/>
      <c r="G162" s="22"/>
      <c r="I162" s="9">
        <f t="shared" ref="I162:I178" si="47">IF(EXACT(F162,"M"),C162,0)</f>
        <v>0</v>
      </c>
      <c r="J162" s="9">
        <f t="shared" ref="J162:J178" si="48">IF(EXACT(G162,"CheckingStarOneTXs"),C162,0)</f>
        <v>0</v>
      </c>
      <c r="K162" s="9">
        <f t="shared" ref="K162:K178" si="49">IF(AND(C162&lt;0,EXACT(G162,"VisaChaseTXs")),C162,0)</f>
        <v>0</v>
      </c>
      <c r="L162" s="8">
        <f t="shared" ref="L162:L178" si="50">IF(AND(AND(F162="",C162&lt;0),E162=""),C162,0)</f>
        <v>0</v>
      </c>
      <c r="M162" s="8">
        <f t="shared" ref="M162:M178" si="51">IF(F162="T",C162,0)</f>
        <v>0</v>
      </c>
      <c r="N162" s="8">
        <f t="shared" ref="N162:N178" si="52">IF(D162="Transfer Savings",C162,0)</f>
        <v>0</v>
      </c>
      <c r="P162" s="8">
        <f t="shared" ref="P162:P178" si="53">IF(AND(IF(C162&lt;0,C162,FALSE),E162&lt;&gt;"y"),C162,0)</f>
        <v>0</v>
      </c>
      <c r="Q162" s="8">
        <f t="shared" si="43"/>
        <v>0</v>
      </c>
      <c r="R162" s="8" t="str">
        <f t="shared" ref="R162:R178" si="54">IF(ISBLANK(A162),"",ABS($AB$1-(A162+10)))</f>
        <v/>
      </c>
      <c r="S162" s="8" t="str">
        <f>IF(ISBLANK(A162),"",ABS($AB$2-(A162+$AA$5)))</f>
        <v/>
      </c>
      <c r="T162" s="8">
        <f t="shared" si="44"/>
        <v>0</v>
      </c>
      <c r="U162" s="9" t="str">
        <f t="shared" si="45"/>
        <v/>
      </c>
      <c r="V162" s="9">
        <f t="shared" si="46"/>
        <v>0</v>
      </c>
      <c r="W162" s="9">
        <f t="shared" si="35"/>
        <v>7852.3200225830078</v>
      </c>
    </row>
    <row r="163" spans="1:23" x14ac:dyDescent="0.2">
      <c r="A163" s="23"/>
      <c r="B163" s="20"/>
      <c r="C163" s="20"/>
      <c r="D163" s="20"/>
      <c r="E163" s="20"/>
      <c r="F163" s="20"/>
      <c r="G163" s="24"/>
      <c r="I163" s="9">
        <f t="shared" si="47"/>
        <v>0</v>
      </c>
      <c r="J163" s="9">
        <f t="shared" si="48"/>
        <v>0</v>
      </c>
      <c r="K163" s="9">
        <f t="shared" si="49"/>
        <v>0</v>
      </c>
      <c r="L163" s="8">
        <f t="shared" si="50"/>
        <v>0</v>
      </c>
      <c r="M163" s="8">
        <f t="shared" si="51"/>
        <v>0</v>
      </c>
      <c r="N163" s="8">
        <f t="shared" si="52"/>
        <v>0</v>
      </c>
      <c r="P163" s="8">
        <f t="shared" si="53"/>
        <v>0</v>
      </c>
      <c r="Q163" s="8">
        <f t="shared" si="43"/>
        <v>0</v>
      </c>
      <c r="R163" s="8" t="str">
        <f t="shared" si="54"/>
        <v/>
      </c>
      <c r="S163" s="8" t="str">
        <f>IF(ISBLANK(A163),"",ABS($AB$2-(A163+$AA$5)))</f>
        <v/>
      </c>
      <c r="T163" s="8">
        <f t="shared" si="44"/>
        <v>0</v>
      </c>
      <c r="U163" s="9" t="str">
        <f t="shared" si="45"/>
        <v/>
      </c>
      <c r="V163" s="9">
        <f t="shared" si="46"/>
        <v>0</v>
      </c>
      <c r="W163" s="9">
        <f t="shared" si="35"/>
        <v>7852.3200225830078</v>
      </c>
    </row>
    <row r="164" spans="1:23" x14ac:dyDescent="0.2">
      <c r="A164" s="21"/>
      <c r="B164" s="19"/>
      <c r="C164" s="19"/>
      <c r="D164" s="19"/>
      <c r="E164" s="19"/>
      <c r="F164" s="19"/>
      <c r="G164" s="22"/>
      <c r="I164" s="9">
        <f t="shared" si="47"/>
        <v>0</v>
      </c>
      <c r="J164" s="9">
        <f t="shared" si="48"/>
        <v>0</v>
      </c>
      <c r="K164" s="9">
        <f t="shared" si="49"/>
        <v>0</v>
      </c>
      <c r="L164" s="8">
        <f t="shared" si="50"/>
        <v>0</v>
      </c>
      <c r="M164" s="8">
        <f t="shared" si="51"/>
        <v>0</v>
      </c>
      <c r="N164" s="8">
        <f t="shared" si="52"/>
        <v>0</v>
      </c>
      <c r="P164" s="8">
        <f t="shared" si="53"/>
        <v>0</v>
      </c>
      <c r="Q164" s="8">
        <f t="shared" si="43"/>
        <v>0</v>
      </c>
      <c r="R164" s="8" t="str">
        <f t="shared" si="54"/>
        <v/>
      </c>
      <c r="S164" s="8" t="str">
        <f>IF(ISBLANK(A164),"",ABS($AB$2-(A164+$AA$5)))</f>
        <v/>
      </c>
      <c r="T164" s="8">
        <f t="shared" si="44"/>
        <v>0</v>
      </c>
      <c r="U164" s="9" t="str">
        <f t="shared" si="45"/>
        <v/>
      </c>
      <c r="V164" s="9">
        <f t="shared" si="46"/>
        <v>0</v>
      </c>
      <c r="W164" s="9">
        <f t="shared" si="35"/>
        <v>7852.3200225830078</v>
      </c>
    </row>
    <row r="165" spans="1:23" x14ac:dyDescent="0.2">
      <c r="A165" s="23"/>
      <c r="B165" s="20"/>
      <c r="C165" s="20"/>
      <c r="D165" s="20"/>
      <c r="E165" s="20"/>
      <c r="F165" s="20"/>
      <c r="G165" s="24"/>
      <c r="I165" s="9">
        <f t="shared" si="47"/>
        <v>0</v>
      </c>
      <c r="J165" s="9">
        <f t="shared" si="48"/>
        <v>0</v>
      </c>
      <c r="K165" s="9">
        <f t="shared" si="49"/>
        <v>0</v>
      </c>
      <c r="L165" s="8">
        <f t="shared" si="50"/>
        <v>0</v>
      </c>
      <c r="M165" s="8">
        <f t="shared" si="51"/>
        <v>0</v>
      </c>
      <c r="N165" s="8">
        <f t="shared" si="52"/>
        <v>0</v>
      </c>
      <c r="P165" s="8">
        <f t="shared" si="53"/>
        <v>0</v>
      </c>
      <c r="Q165" s="8">
        <f t="shared" ref="Q165:Q178" si="55">P165</f>
        <v>0</v>
      </c>
      <c r="R165" s="8" t="str">
        <f t="shared" si="54"/>
        <v/>
      </c>
      <c r="S165" s="8" t="str">
        <f>IF(ISBLANK(A165),"",ABS($AB$2-(A165+$AA$5)))</f>
        <v/>
      </c>
      <c r="T165" s="8">
        <f t="shared" si="44"/>
        <v>0</v>
      </c>
      <c r="U165" s="9" t="str">
        <f t="shared" si="45"/>
        <v/>
      </c>
      <c r="V165" s="9">
        <f t="shared" si="46"/>
        <v>0</v>
      </c>
      <c r="W165" s="9">
        <f t="shared" si="35"/>
        <v>7852.3200225830078</v>
      </c>
    </row>
    <row r="166" spans="1:23" x14ac:dyDescent="0.2">
      <c r="A166" s="21"/>
      <c r="B166" s="19"/>
      <c r="C166" s="19"/>
      <c r="D166" s="19"/>
      <c r="E166" s="19"/>
      <c r="F166" s="19"/>
      <c r="G166" s="22"/>
      <c r="I166" s="9">
        <f t="shared" si="47"/>
        <v>0</v>
      </c>
      <c r="J166" s="9">
        <f t="shared" si="48"/>
        <v>0</v>
      </c>
      <c r="K166" s="9">
        <f t="shared" si="49"/>
        <v>0</v>
      </c>
      <c r="L166" s="8">
        <f t="shared" si="50"/>
        <v>0</v>
      </c>
      <c r="M166" s="8">
        <f t="shared" si="51"/>
        <v>0</v>
      </c>
      <c r="N166" s="8">
        <f t="shared" si="52"/>
        <v>0</v>
      </c>
      <c r="P166" s="8">
        <f t="shared" si="53"/>
        <v>0</v>
      </c>
      <c r="Q166" s="8">
        <f t="shared" si="55"/>
        <v>0</v>
      </c>
      <c r="R166" s="8" t="str">
        <f t="shared" si="54"/>
        <v/>
      </c>
      <c r="S166" s="8" t="str">
        <f>IF(ISBLANK(A166),"",ABS($AB$2-(A166+$AA$5)))</f>
        <v/>
      </c>
      <c r="T166" s="8">
        <f t="shared" si="44"/>
        <v>0</v>
      </c>
      <c r="U166" s="9" t="str">
        <f t="shared" si="45"/>
        <v/>
      </c>
      <c r="V166" s="9">
        <f t="shared" si="46"/>
        <v>0</v>
      </c>
      <c r="W166" s="9">
        <f t="shared" si="35"/>
        <v>7852.3200225830078</v>
      </c>
    </row>
    <row r="167" spans="1:23" x14ac:dyDescent="0.2">
      <c r="A167" s="23"/>
      <c r="B167" s="20"/>
      <c r="C167" s="20"/>
      <c r="D167" s="20"/>
      <c r="E167" s="20"/>
      <c r="F167" s="20"/>
      <c r="G167" s="24"/>
      <c r="I167" s="9">
        <f t="shared" si="47"/>
        <v>0</v>
      </c>
      <c r="J167" s="9">
        <f t="shared" si="48"/>
        <v>0</v>
      </c>
      <c r="K167" s="9">
        <f t="shared" si="49"/>
        <v>0</v>
      </c>
      <c r="L167" s="8">
        <f t="shared" si="50"/>
        <v>0</v>
      </c>
      <c r="M167" s="8">
        <f t="shared" si="51"/>
        <v>0</v>
      </c>
      <c r="N167" s="8">
        <f t="shared" si="52"/>
        <v>0</v>
      </c>
      <c r="P167" s="8">
        <f t="shared" si="53"/>
        <v>0</v>
      </c>
      <c r="Q167" s="8">
        <f t="shared" si="55"/>
        <v>0</v>
      </c>
      <c r="R167" s="8" t="str">
        <f t="shared" si="54"/>
        <v/>
      </c>
      <c r="S167" s="8" t="str">
        <f>IF(ISBLANK(A167),"",ABS($AB$2-(A167+$AA$5)))</f>
        <v/>
      </c>
      <c r="T167" s="8">
        <f t="shared" si="44"/>
        <v>0</v>
      </c>
      <c r="U167" s="9" t="str">
        <f t="shared" si="45"/>
        <v/>
      </c>
      <c r="V167" s="9">
        <f t="shared" si="46"/>
        <v>0</v>
      </c>
      <c r="W167" s="9">
        <f t="shared" si="35"/>
        <v>7852.3200225830078</v>
      </c>
    </row>
    <row r="168" spans="1:23" x14ac:dyDescent="0.2">
      <c r="A168" s="21"/>
      <c r="B168" s="19"/>
      <c r="C168" s="19"/>
      <c r="D168" s="19"/>
      <c r="E168" s="19"/>
      <c r="F168" s="19"/>
      <c r="G168" s="22"/>
      <c r="I168" s="9">
        <f t="shared" si="47"/>
        <v>0</v>
      </c>
      <c r="J168" s="9">
        <f t="shared" si="48"/>
        <v>0</v>
      </c>
      <c r="K168" s="9">
        <f t="shared" si="49"/>
        <v>0</v>
      </c>
      <c r="L168" s="8">
        <f t="shared" si="50"/>
        <v>0</v>
      </c>
      <c r="M168" s="8">
        <f t="shared" si="51"/>
        <v>0</v>
      </c>
      <c r="N168" s="8">
        <f t="shared" si="52"/>
        <v>0</v>
      </c>
      <c r="P168" s="8">
        <f t="shared" si="53"/>
        <v>0</v>
      </c>
      <c r="Q168" s="8">
        <f t="shared" si="55"/>
        <v>0</v>
      </c>
      <c r="R168" s="8" t="str">
        <f t="shared" si="54"/>
        <v/>
      </c>
      <c r="S168" s="8" t="str">
        <f>IF(ISBLANK(A168),"",ABS($AB$2-(A168+$AA$5)))</f>
        <v/>
      </c>
      <c r="T168" s="8">
        <f t="shared" si="44"/>
        <v>0</v>
      </c>
      <c r="U168" s="9" t="str">
        <f t="shared" si="45"/>
        <v/>
      </c>
      <c r="V168" s="9">
        <f t="shared" si="46"/>
        <v>0</v>
      </c>
      <c r="W168" s="9">
        <f t="shared" si="35"/>
        <v>7852.3200225830078</v>
      </c>
    </row>
    <row r="169" spans="1:23" x14ac:dyDescent="0.2">
      <c r="A169" s="23"/>
      <c r="B169" s="20"/>
      <c r="C169" s="20"/>
      <c r="D169" s="20"/>
      <c r="E169" s="20"/>
      <c r="F169" s="20"/>
      <c r="G169" s="24"/>
      <c r="I169" s="9">
        <f t="shared" si="47"/>
        <v>0</v>
      </c>
      <c r="J169" s="9">
        <f t="shared" si="48"/>
        <v>0</v>
      </c>
      <c r="K169" s="9">
        <f t="shared" si="49"/>
        <v>0</v>
      </c>
      <c r="L169" s="8">
        <f t="shared" si="50"/>
        <v>0</v>
      </c>
      <c r="M169" s="8">
        <f t="shared" si="51"/>
        <v>0</v>
      </c>
      <c r="N169" s="8">
        <f t="shared" si="52"/>
        <v>0</v>
      </c>
      <c r="P169" s="8">
        <f t="shared" si="53"/>
        <v>0</v>
      </c>
      <c r="Q169" s="8">
        <f t="shared" si="55"/>
        <v>0</v>
      </c>
      <c r="R169" s="8" t="str">
        <f t="shared" si="54"/>
        <v/>
      </c>
      <c r="S169" s="8" t="str">
        <f>IF(ISBLANK(A169),"",ABS($AB$2-(A169+$AA$5)))</f>
        <v/>
      </c>
      <c r="T169" s="8">
        <f t="shared" si="44"/>
        <v>0</v>
      </c>
      <c r="U169" s="9" t="str">
        <f t="shared" si="45"/>
        <v/>
      </c>
      <c r="V169" s="9">
        <f t="shared" si="46"/>
        <v>0</v>
      </c>
      <c r="W169" s="9">
        <f t="shared" si="35"/>
        <v>7852.3200225830078</v>
      </c>
    </row>
    <row r="170" spans="1:23" x14ac:dyDescent="0.2">
      <c r="A170" s="21"/>
      <c r="B170" s="19"/>
      <c r="C170" s="19"/>
      <c r="D170" s="19"/>
      <c r="E170" s="19"/>
      <c r="F170" s="19"/>
      <c r="G170" s="22"/>
      <c r="I170" s="9">
        <f t="shared" si="47"/>
        <v>0</v>
      </c>
      <c r="J170" s="9">
        <f t="shared" si="48"/>
        <v>0</v>
      </c>
      <c r="K170" s="9">
        <f t="shared" si="49"/>
        <v>0</v>
      </c>
      <c r="L170" s="8">
        <f t="shared" si="50"/>
        <v>0</v>
      </c>
      <c r="M170" s="8">
        <f t="shared" si="51"/>
        <v>0</v>
      </c>
      <c r="N170" s="8">
        <f t="shared" si="52"/>
        <v>0</v>
      </c>
      <c r="P170" s="8">
        <f t="shared" si="53"/>
        <v>0</v>
      </c>
      <c r="Q170" s="8">
        <f t="shared" si="55"/>
        <v>0</v>
      </c>
      <c r="R170" s="8" t="str">
        <f t="shared" si="54"/>
        <v/>
      </c>
      <c r="S170" s="8" t="str">
        <f>IF(ISBLANK(A170),"",ABS($AB$2-(A170+$AA$5)))</f>
        <v/>
      </c>
      <c r="T170" s="8">
        <f t="shared" si="44"/>
        <v>0</v>
      </c>
      <c r="U170" s="9" t="str">
        <f t="shared" si="45"/>
        <v/>
      </c>
      <c r="V170" s="9">
        <f t="shared" si="46"/>
        <v>0</v>
      </c>
      <c r="W170" s="9">
        <f t="shared" si="35"/>
        <v>7852.3200225830078</v>
      </c>
    </row>
    <row r="171" spans="1:23" x14ac:dyDescent="0.2">
      <c r="A171" s="23"/>
      <c r="B171" s="20"/>
      <c r="C171" s="20"/>
      <c r="D171" s="20"/>
      <c r="E171" s="20"/>
      <c r="F171" s="20"/>
      <c r="G171" s="24"/>
      <c r="I171" s="9">
        <f t="shared" si="47"/>
        <v>0</v>
      </c>
      <c r="J171" s="9">
        <f t="shared" si="48"/>
        <v>0</v>
      </c>
      <c r="K171" s="9">
        <f t="shared" si="49"/>
        <v>0</v>
      </c>
      <c r="L171" s="8">
        <f t="shared" si="50"/>
        <v>0</v>
      </c>
      <c r="M171" s="8">
        <f t="shared" si="51"/>
        <v>0</v>
      </c>
      <c r="N171" s="8">
        <f t="shared" si="52"/>
        <v>0</v>
      </c>
      <c r="P171" s="8">
        <f t="shared" si="53"/>
        <v>0</v>
      </c>
      <c r="Q171" s="8">
        <f t="shared" si="55"/>
        <v>0</v>
      </c>
      <c r="R171" s="8" t="str">
        <f t="shared" si="54"/>
        <v/>
      </c>
      <c r="S171" s="8" t="str">
        <f>IF(ISBLANK(A171),"",ABS($AB$2-(A171+$AA$5)))</f>
        <v/>
      </c>
      <c r="T171" s="8">
        <f t="shared" ref="T171:T178" si="56">T170+Q171</f>
        <v>0</v>
      </c>
      <c r="U171" s="9" t="str">
        <f t="shared" si="45"/>
        <v/>
      </c>
      <c r="V171" s="9">
        <f t="shared" si="46"/>
        <v>0</v>
      </c>
      <c r="W171" s="9">
        <f t="shared" si="35"/>
        <v>7852.3200225830078</v>
      </c>
    </row>
    <row r="172" spans="1:23" x14ac:dyDescent="0.2">
      <c r="A172" s="21"/>
      <c r="B172" s="19"/>
      <c r="C172" s="19"/>
      <c r="D172" s="19"/>
      <c r="E172" s="19"/>
      <c r="F172" s="19"/>
      <c r="G172" s="22"/>
      <c r="I172" s="9">
        <f t="shared" si="47"/>
        <v>0</v>
      </c>
      <c r="J172" s="9">
        <f t="shared" si="48"/>
        <v>0</v>
      </c>
      <c r="K172" s="9">
        <f t="shared" si="49"/>
        <v>0</v>
      </c>
      <c r="L172" s="8">
        <f t="shared" si="50"/>
        <v>0</v>
      </c>
      <c r="M172" s="8">
        <f t="shared" si="51"/>
        <v>0</v>
      </c>
      <c r="N172" s="8">
        <f t="shared" si="52"/>
        <v>0</v>
      </c>
      <c r="P172" s="8">
        <f t="shared" si="53"/>
        <v>0</v>
      </c>
      <c r="Q172" s="8">
        <f t="shared" si="55"/>
        <v>0</v>
      </c>
      <c r="R172" s="8" t="str">
        <f t="shared" si="54"/>
        <v/>
      </c>
      <c r="S172" s="8" t="str">
        <f>IF(ISBLANK(A172),"",ABS($AB$2-(A172+$AA$5)))</f>
        <v/>
      </c>
      <c r="T172" s="8">
        <f t="shared" si="56"/>
        <v>0</v>
      </c>
      <c r="U172" s="9" t="str">
        <f t="shared" si="45"/>
        <v/>
      </c>
      <c r="V172" s="9">
        <f t="shared" si="46"/>
        <v>0</v>
      </c>
      <c r="W172" s="9">
        <f t="shared" si="35"/>
        <v>7852.3200225830078</v>
      </c>
    </row>
    <row r="173" spans="1:23" x14ac:dyDescent="0.2">
      <c r="A173" s="23"/>
      <c r="B173" s="20"/>
      <c r="C173" s="20"/>
      <c r="D173" s="20"/>
      <c r="E173" s="20"/>
      <c r="F173" s="20"/>
      <c r="G173" s="24"/>
      <c r="I173" s="9">
        <f t="shared" si="47"/>
        <v>0</v>
      </c>
      <c r="J173" s="9">
        <f t="shared" si="48"/>
        <v>0</v>
      </c>
      <c r="K173" s="9">
        <f t="shared" si="49"/>
        <v>0</v>
      </c>
      <c r="L173" s="8">
        <f t="shared" si="50"/>
        <v>0</v>
      </c>
      <c r="M173" s="8">
        <f t="shared" si="51"/>
        <v>0</v>
      </c>
      <c r="N173" s="8">
        <f t="shared" si="52"/>
        <v>0</v>
      </c>
      <c r="P173" s="8">
        <f t="shared" si="53"/>
        <v>0</v>
      </c>
      <c r="Q173" s="8">
        <f t="shared" si="55"/>
        <v>0</v>
      </c>
      <c r="R173" s="8" t="str">
        <f t="shared" si="54"/>
        <v/>
      </c>
      <c r="S173" s="8" t="str">
        <f>IF(ISBLANK(A173),"",ABS($AB$2-(A173+$AA$5)))</f>
        <v/>
      </c>
      <c r="T173" s="8">
        <f t="shared" si="56"/>
        <v>0</v>
      </c>
      <c r="U173" s="9" t="str">
        <f t="shared" si="45"/>
        <v/>
      </c>
      <c r="V173" s="9">
        <f t="shared" si="46"/>
        <v>0</v>
      </c>
      <c r="W173" s="9">
        <f t="shared" si="35"/>
        <v>7852.3200225830078</v>
      </c>
    </row>
    <row r="174" spans="1:23" x14ac:dyDescent="0.2">
      <c r="A174" s="21"/>
      <c r="B174" s="19"/>
      <c r="C174" s="19"/>
      <c r="D174" s="19"/>
      <c r="E174" s="19"/>
      <c r="F174" s="19"/>
      <c r="G174" s="22"/>
      <c r="I174" s="9">
        <f t="shared" si="47"/>
        <v>0</v>
      </c>
      <c r="J174" s="9">
        <f t="shared" si="48"/>
        <v>0</v>
      </c>
      <c r="K174" s="9">
        <f t="shared" si="49"/>
        <v>0</v>
      </c>
      <c r="L174" s="8">
        <f t="shared" si="50"/>
        <v>0</v>
      </c>
      <c r="M174" s="8">
        <f t="shared" si="51"/>
        <v>0</v>
      </c>
      <c r="N174" s="8">
        <f t="shared" si="52"/>
        <v>0</v>
      </c>
      <c r="P174" s="8">
        <f t="shared" si="53"/>
        <v>0</v>
      </c>
      <c r="Q174" s="8">
        <f t="shared" si="55"/>
        <v>0</v>
      </c>
      <c r="R174" s="8" t="str">
        <f t="shared" si="54"/>
        <v/>
      </c>
      <c r="S174" s="8" t="str">
        <f>IF(ISBLANK(A174),"",ABS($AB$2-(A174+$AA$5)))</f>
        <v/>
      </c>
      <c r="T174" s="8">
        <f t="shared" si="56"/>
        <v>0</v>
      </c>
      <c r="U174" s="9" t="str">
        <f t="shared" si="45"/>
        <v/>
      </c>
      <c r="V174" s="9">
        <f t="shared" si="46"/>
        <v>0</v>
      </c>
      <c r="W174" s="9">
        <f t="shared" si="35"/>
        <v>7852.3200225830078</v>
      </c>
    </row>
    <row r="175" spans="1:23" x14ac:dyDescent="0.2">
      <c r="A175" s="6"/>
      <c r="I175" s="9">
        <f t="shared" si="47"/>
        <v>0</v>
      </c>
      <c r="J175" s="9">
        <f t="shared" si="48"/>
        <v>0</v>
      </c>
      <c r="K175" s="9">
        <f t="shared" si="49"/>
        <v>0</v>
      </c>
      <c r="L175" s="8">
        <f t="shared" si="50"/>
        <v>0</v>
      </c>
      <c r="M175" s="8">
        <f t="shared" si="51"/>
        <v>0</v>
      </c>
      <c r="N175" s="8">
        <f t="shared" si="52"/>
        <v>0</v>
      </c>
      <c r="P175" s="8">
        <f t="shared" si="53"/>
        <v>0</v>
      </c>
      <c r="Q175" s="8">
        <f t="shared" si="55"/>
        <v>0</v>
      </c>
      <c r="R175" s="8" t="str">
        <f t="shared" si="54"/>
        <v/>
      </c>
      <c r="S175" s="8" t="str">
        <f>IF(ISBLANK(A175),"",ABS($AB$2-(A175+$AA$5)))</f>
        <v/>
      </c>
      <c r="T175" s="8">
        <f t="shared" si="56"/>
        <v>0</v>
      </c>
      <c r="U175" s="9" t="str">
        <f t="shared" si="45"/>
        <v/>
      </c>
      <c r="V175" s="9">
        <f t="shared" si="46"/>
        <v>0</v>
      </c>
      <c r="W175" s="9">
        <f t="shared" si="35"/>
        <v>7852.3200225830078</v>
      </c>
    </row>
    <row r="176" spans="1:23" x14ac:dyDescent="0.2">
      <c r="A176" s="6"/>
      <c r="I176" s="9">
        <f t="shared" si="47"/>
        <v>0</v>
      </c>
      <c r="J176" s="9">
        <f t="shared" si="48"/>
        <v>0</v>
      </c>
      <c r="K176" s="9">
        <f t="shared" si="49"/>
        <v>0</v>
      </c>
      <c r="L176" s="8">
        <f t="shared" si="50"/>
        <v>0</v>
      </c>
      <c r="M176" s="8">
        <f t="shared" si="51"/>
        <v>0</v>
      </c>
      <c r="N176" s="8">
        <f t="shared" si="52"/>
        <v>0</v>
      </c>
      <c r="P176" s="8">
        <f t="shared" si="53"/>
        <v>0</v>
      </c>
      <c r="Q176" s="8">
        <f t="shared" si="55"/>
        <v>0</v>
      </c>
      <c r="R176" s="8" t="str">
        <f t="shared" si="54"/>
        <v/>
      </c>
      <c r="S176" s="8" t="str">
        <f>IF(ISBLANK(A176),"",ABS($AB$2-(A176+$AA$5)))</f>
        <v/>
      </c>
      <c r="T176" s="8">
        <f t="shared" si="56"/>
        <v>0</v>
      </c>
      <c r="U176" s="9" t="str">
        <f t="shared" si="45"/>
        <v/>
      </c>
      <c r="V176" s="9">
        <f t="shared" si="46"/>
        <v>0</v>
      </c>
      <c r="W176" s="9">
        <f t="shared" si="35"/>
        <v>7852.3200225830078</v>
      </c>
    </row>
    <row r="177" spans="1:23" x14ac:dyDescent="0.2">
      <c r="A177" s="6"/>
      <c r="I177" s="9">
        <f t="shared" si="47"/>
        <v>0</v>
      </c>
      <c r="J177" s="9">
        <f t="shared" si="48"/>
        <v>0</v>
      </c>
      <c r="K177" s="9">
        <f t="shared" si="49"/>
        <v>0</v>
      </c>
      <c r="L177" s="8">
        <f t="shared" si="50"/>
        <v>0</v>
      </c>
      <c r="M177" s="8">
        <f t="shared" si="51"/>
        <v>0</v>
      </c>
      <c r="N177" s="8">
        <f t="shared" si="52"/>
        <v>0</v>
      </c>
      <c r="P177" s="8">
        <f t="shared" si="53"/>
        <v>0</v>
      </c>
      <c r="Q177" s="8">
        <f t="shared" si="55"/>
        <v>0</v>
      </c>
      <c r="R177" s="8" t="str">
        <f t="shared" si="54"/>
        <v/>
      </c>
      <c r="S177" s="8" t="str">
        <f>IF(ISBLANK(A177),"",ABS($AB$2-(A177+$AA$5)))</f>
        <v/>
      </c>
      <c r="T177" s="8">
        <f t="shared" si="56"/>
        <v>0</v>
      </c>
      <c r="U177" s="9" t="str">
        <f t="shared" si="45"/>
        <v/>
      </c>
      <c r="V177" s="9">
        <f t="shared" si="46"/>
        <v>0</v>
      </c>
      <c r="W177" s="9">
        <f t="shared" si="35"/>
        <v>7852.3200225830078</v>
      </c>
    </row>
    <row r="178" spans="1:23" x14ac:dyDescent="0.2">
      <c r="A178" s="6"/>
      <c r="I178" s="9">
        <f t="shared" si="47"/>
        <v>0</v>
      </c>
      <c r="J178" s="9">
        <f t="shared" si="48"/>
        <v>0</v>
      </c>
      <c r="K178" s="9">
        <f t="shared" si="49"/>
        <v>0</v>
      </c>
      <c r="L178" s="8">
        <f t="shared" si="50"/>
        <v>0</v>
      </c>
      <c r="M178" s="8">
        <f t="shared" si="51"/>
        <v>0</v>
      </c>
      <c r="N178" s="8">
        <f t="shared" si="52"/>
        <v>0</v>
      </c>
      <c r="P178" s="8">
        <f t="shared" si="53"/>
        <v>0</v>
      </c>
      <c r="Q178" s="8">
        <f t="shared" si="55"/>
        <v>0</v>
      </c>
      <c r="R178" s="8" t="str">
        <f t="shared" si="54"/>
        <v/>
      </c>
      <c r="S178" s="8" t="str">
        <f>IF(ISBLANK(A178),"",ABS($AB$2-(A178+$AA$5)))</f>
        <v/>
      </c>
      <c r="T178" s="8">
        <f t="shared" si="56"/>
        <v>0</v>
      </c>
      <c r="U178" s="9" t="str">
        <f t="shared" si="45"/>
        <v/>
      </c>
      <c r="V178" s="9">
        <f t="shared" si="46"/>
        <v>0</v>
      </c>
      <c r="W178" s="9">
        <f t="shared" si="35"/>
        <v>7852.3200225830078</v>
      </c>
    </row>
    <row r="179" spans="1:23" x14ac:dyDescent="0.2">
      <c r="A179" s="6"/>
      <c r="I179" s="9">
        <f t="shared" ref="I179:I193" si="57">IF(EXACT(F179,"M"),C179,0)</f>
        <v>0</v>
      </c>
      <c r="J179" s="9">
        <f t="shared" ref="J179:J193" si="58">IF(EXACT(G179,"CheckingStarOneTXs"),C179,0)</f>
        <v>0</v>
      </c>
      <c r="K179" s="9">
        <f t="shared" ref="K179:K193" si="59">IF(AND(C179&lt;0,EXACT(G179,"VisaChaseTXs")),C179,0)</f>
        <v>0</v>
      </c>
      <c r="L179" s="8">
        <f t="shared" ref="L179:L193" si="60">IF(AND(AND(F179="",C179&lt;0),E179=""),C179,0)</f>
        <v>0</v>
      </c>
      <c r="M179" s="8">
        <f t="shared" ref="M179:M193" si="61">IF(F179="T",C179,0)</f>
        <v>0</v>
      </c>
      <c r="N179" s="8">
        <f t="shared" ref="N179:N193" si="62">IF(D179="Transfer Savings",C179,0)</f>
        <v>0</v>
      </c>
      <c r="P179" s="8">
        <f t="shared" ref="P179:P193" si="63">IF(AND(IF(C179&lt;0,C179,FALSE),E179&lt;&gt;"y"),C179,0)</f>
        <v>0</v>
      </c>
      <c r="Q179" s="8">
        <f t="shared" ref="Q179:Q193" si="64">P179</f>
        <v>0</v>
      </c>
      <c r="R179" s="8" t="str">
        <f t="shared" ref="R179:R193" si="65">IF(ISBLANK(A179),"",ABS($AB$1-(A179+10)))</f>
        <v/>
      </c>
      <c r="S179" s="8" t="str">
        <f t="shared" ref="S179:S193" si="66">IF(ISBLANK(A179),"",ABS($AB$2-(A179+$AA$5)))</f>
        <v/>
      </c>
      <c r="T179" s="8">
        <f t="shared" ref="T179:T193" si="67">T178+Q179</f>
        <v>0</v>
      </c>
      <c r="U179" s="9" t="str">
        <f t="shared" ref="U179:U193" si="68">IF(S179="","",ABS(T179))</f>
        <v/>
      </c>
      <c r="V179" s="9">
        <f t="shared" si="46"/>
        <v>0</v>
      </c>
      <c r="W179" s="9">
        <f t="shared" si="35"/>
        <v>7852.3200225830078</v>
      </c>
    </row>
    <row r="180" spans="1:23" x14ac:dyDescent="0.2">
      <c r="A180" s="6"/>
      <c r="I180" s="9">
        <f t="shared" si="57"/>
        <v>0</v>
      </c>
      <c r="J180" s="9">
        <f t="shared" si="58"/>
        <v>0</v>
      </c>
      <c r="K180" s="9">
        <f t="shared" si="59"/>
        <v>0</v>
      </c>
      <c r="L180" s="8">
        <f t="shared" si="60"/>
        <v>0</v>
      </c>
      <c r="M180" s="8">
        <f t="shared" si="61"/>
        <v>0</v>
      </c>
      <c r="N180" s="8">
        <f t="shared" si="62"/>
        <v>0</v>
      </c>
      <c r="P180" s="8">
        <f t="shared" si="63"/>
        <v>0</v>
      </c>
      <c r="Q180" s="8">
        <f t="shared" si="64"/>
        <v>0</v>
      </c>
      <c r="R180" s="8" t="str">
        <f t="shared" si="65"/>
        <v/>
      </c>
      <c r="S180" s="8" t="str">
        <f t="shared" si="66"/>
        <v/>
      </c>
      <c r="T180" s="8">
        <f t="shared" si="67"/>
        <v>0</v>
      </c>
      <c r="U180" s="9" t="str">
        <f t="shared" si="68"/>
        <v/>
      </c>
      <c r="V180" s="9">
        <f t="shared" si="46"/>
        <v>0</v>
      </c>
      <c r="W180" s="9">
        <f t="shared" si="35"/>
        <v>7852.3200225830078</v>
      </c>
    </row>
    <row r="181" spans="1:23" x14ac:dyDescent="0.2">
      <c r="A181" s="6"/>
      <c r="I181" s="9">
        <f t="shared" si="57"/>
        <v>0</v>
      </c>
      <c r="J181" s="9">
        <f t="shared" si="58"/>
        <v>0</v>
      </c>
      <c r="K181" s="9">
        <f t="shared" si="59"/>
        <v>0</v>
      </c>
      <c r="L181" s="8">
        <f t="shared" si="60"/>
        <v>0</v>
      </c>
      <c r="M181" s="8">
        <f t="shared" si="61"/>
        <v>0</v>
      </c>
      <c r="N181" s="8">
        <f t="shared" si="62"/>
        <v>0</v>
      </c>
      <c r="P181" s="8">
        <f t="shared" si="63"/>
        <v>0</v>
      </c>
      <c r="Q181" s="8">
        <f t="shared" si="64"/>
        <v>0</v>
      </c>
      <c r="R181" s="8" t="str">
        <f t="shared" si="65"/>
        <v/>
      </c>
      <c r="S181" s="8" t="str">
        <f t="shared" si="66"/>
        <v/>
      </c>
      <c r="T181" s="8">
        <f t="shared" si="67"/>
        <v>0</v>
      </c>
      <c r="U181" s="9" t="str">
        <f t="shared" si="68"/>
        <v/>
      </c>
      <c r="V181" s="9">
        <f t="shared" si="46"/>
        <v>0</v>
      </c>
      <c r="W181" s="9">
        <f t="shared" si="35"/>
        <v>7852.3200225830078</v>
      </c>
    </row>
    <row r="182" spans="1:23" x14ac:dyDescent="0.2">
      <c r="A182" s="6"/>
      <c r="B182" s="7"/>
      <c r="C182" s="7"/>
      <c r="D182" s="7"/>
      <c r="E182" s="7"/>
      <c r="F182" s="7"/>
      <c r="G182" s="7"/>
      <c r="I182" s="9">
        <f t="shared" si="57"/>
        <v>0</v>
      </c>
      <c r="J182" s="9">
        <f t="shared" si="58"/>
        <v>0</v>
      </c>
      <c r="K182" s="9">
        <f t="shared" si="59"/>
        <v>0</v>
      </c>
      <c r="L182" s="8">
        <f t="shared" si="60"/>
        <v>0</v>
      </c>
      <c r="M182" s="8">
        <f t="shared" si="61"/>
        <v>0</v>
      </c>
      <c r="N182" s="8">
        <f t="shared" si="62"/>
        <v>0</v>
      </c>
      <c r="P182" s="8">
        <f t="shared" si="63"/>
        <v>0</v>
      </c>
      <c r="Q182" s="8">
        <f t="shared" si="64"/>
        <v>0</v>
      </c>
      <c r="R182" s="8" t="str">
        <f t="shared" si="65"/>
        <v/>
      </c>
      <c r="S182" s="8" t="str">
        <f t="shared" si="66"/>
        <v/>
      </c>
      <c r="T182" s="8">
        <f t="shared" si="67"/>
        <v>0</v>
      </c>
      <c r="U182" s="9" t="str">
        <f t="shared" si="68"/>
        <v/>
      </c>
      <c r="V182" s="9">
        <f t="shared" si="46"/>
        <v>0</v>
      </c>
      <c r="W182" s="9">
        <f t="shared" si="35"/>
        <v>7852.3200225830078</v>
      </c>
    </row>
    <row r="183" spans="1:23" x14ac:dyDescent="0.2">
      <c r="A183" s="6"/>
      <c r="B183" s="7"/>
      <c r="C183" s="7"/>
      <c r="D183" s="7"/>
      <c r="E183" s="7"/>
      <c r="F183" s="7"/>
      <c r="G183" s="7"/>
      <c r="I183" s="9">
        <f t="shared" si="57"/>
        <v>0</v>
      </c>
      <c r="J183" s="9">
        <f t="shared" si="58"/>
        <v>0</v>
      </c>
      <c r="K183" s="9">
        <f t="shared" si="59"/>
        <v>0</v>
      </c>
      <c r="L183" s="8">
        <f t="shared" si="60"/>
        <v>0</v>
      </c>
      <c r="M183" s="8">
        <f t="shared" si="61"/>
        <v>0</v>
      </c>
      <c r="N183" s="8">
        <f t="shared" si="62"/>
        <v>0</v>
      </c>
      <c r="P183" s="8">
        <f t="shared" si="63"/>
        <v>0</v>
      </c>
      <c r="Q183" s="8">
        <f t="shared" si="64"/>
        <v>0</v>
      </c>
      <c r="R183" s="8" t="str">
        <f t="shared" si="65"/>
        <v/>
      </c>
      <c r="S183" s="8" t="str">
        <f t="shared" si="66"/>
        <v/>
      </c>
      <c r="T183" s="8">
        <f t="shared" si="67"/>
        <v>0</v>
      </c>
      <c r="U183" s="9" t="str">
        <f t="shared" si="68"/>
        <v/>
      </c>
      <c r="V183" s="9">
        <f t="shared" si="46"/>
        <v>0</v>
      </c>
      <c r="W183" s="9">
        <f t="shared" si="35"/>
        <v>7852.3200225830078</v>
      </c>
    </row>
    <row r="184" spans="1:23" x14ac:dyDescent="0.2">
      <c r="A184" s="6"/>
      <c r="B184" s="7"/>
      <c r="C184" s="7"/>
      <c r="D184" s="7"/>
      <c r="E184" s="7"/>
      <c r="F184" s="7"/>
      <c r="G184" s="7"/>
      <c r="I184" s="9">
        <f t="shared" si="57"/>
        <v>0</v>
      </c>
      <c r="J184" s="9">
        <f t="shared" si="58"/>
        <v>0</v>
      </c>
      <c r="K184" s="9">
        <f t="shared" si="59"/>
        <v>0</v>
      </c>
      <c r="L184" s="8">
        <f t="shared" si="60"/>
        <v>0</v>
      </c>
      <c r="M184" s="8">
        <f t="shared" si="61"/>
        <v>0</v>
      </c>
      <c r="N184" s="8">
        <f t="shared" si="62"/>
        <v>0</v>
      </c>
      <c r="P184" s="8">
        <f t="shared" si="63"/>
        <v>0</v>
      </c>
      <c r="Q184" s="8">
        <f t="shared" si="64"/>
        <v>0</v>
      </c>
      <c r="R184" s="8" t="str">
        <f t="shared" si="65"/>
        <v/>
      </c>
      <c r="S184" s="8" t="str">
        <f t="shared" si="66"/>
        <v/>
      </c>
      <c r="T184" s="8">
        <f t="shared" si="67"/>
        <v>0</v>
      </c>
      <c r="U184" s="9" t="str">
        <f t="shared" si="68"/>
        <v/>
      </c>
      <c r="V184" s="9">
        <f t="shared" si="46"/>
        <v>0</v>
      </c>
      <c r="W184" s="9">
        <f t="shared" si="35"/>
        <v>7852.3200225830078</v>
      </c>
    </row>
    <row r="185" spans="1:23" x14ac:dyDescent="0.2">
      <c r="A185" s="6"/>
      <c r="B185" s="7"/>
      <c r="C185" s="7"/>
      <c r="D185" s="7"/>
      <c r="E185" s="7"/>
      <c r="F185" s="7"/>
      <c r="G185" s="7"/>
      <c r="I185" s="9">
        <f t="shared" si="57"/>
        <v>0</v>
      </c>
      <c r="J185" s="9">
        <f t="shared" si="58"/>
        <v>0</v>
      </c>
      <c r="K185" s="9">
        <f t="shared" si="59"/>
        <v>0</v>
      </c>
      <c r="L185" s="8">
        <f t="shared" si="60"/>
        <v>0</v>
      </c>
      <c r="M185" s="8">
        <f t="shared" si="61"/>
        <v>0</v>
      </c>
      <c r="N185" s="8">
        <f t="shared" si="62"/>
        <v>0</v>
      </c>
      <c r="P185" s="8">
        <f t="shared" si="63"/>
        <v>0</v>
      </c>
      <c r="Q185" s="8">
        <f t="shared" si="64"/>
        <v>0</v>
      </c>
      <c r="R185" s="8" t="str">
        <f t="shared" si="65"/>
        <v/>
      </c>
      <c r="S185" s="8" t="str">
        <f t="shared" si="66"/>
        <v/>
      </c>
      <c r="T185" s="8">
        <f t="shared" si="67"/>
        <v>0</v>
      </c>
      <c r="U185" s="9" t="str">
        <f t="shared" si="68"/>
        <v/>
      </c>
      <c r="V185" s="9">
        <f t="shared" si="46"/>
        <v>0</v>
      </c>
      <c r="W185" s="9">
        <f t="shared" si="35"/>
        <v>7852.3200225830078</v>
      </c>
    </row>
    <row r="186" spans="1:23" x14ac:dyDescent="0.2">
      <c r="A186" s="6"/>
      <c r="B186" s="7"/>
      <c r="C186" s="7"/>
      <c r="D186" s="7"/>
      <c r="E186" s="7"/>
      <c r="F186" s="7"/>
      <c r="G186" s="7"/>
      <c r="I186" s="9">
        <f t="shared" si="57"/>
        <v>0</v>
      </c>
      <c r="J186" s="9">
        <f t="shared" si="58"/>
        <v>0</v>
      </c>
      <c r="K186" s="9">
        <f t="shared" si="59"/>
        <v>0</v>
      </c>
      <c r="L186" s="8">
        <f t="shared" si="60"/>
        <v>0</v>
      </c>
      <c r="M186" s="8">
        <f t="shared" si="61"/>
        <v>0</v>
      </c>
      <c r="N186" s="8">
        <f t="shared" si="62"/>
        <v>0</v>
      </c>
      <c r="P186" s="8">
        <f t="shared" si="63"/>
        <v>0</v>
      </c>
      <c r="Q186" s="8">
        <f t="shared" si="64"/>
        <v>0</v>
      </c>
      <c r="R186" s="8" t="str">
        <f t="shared" si="65"/>
        <v/>
      </c>
      <c r="S186" s="8" t="str">
        <f t="shared" si="66"/>
        <v/>
      </c>
      <c r="T186" s="8">
        <f t="shared" si="67"/>
        <v>0</v>
      </c>
      <c r="U186" s="9" t="str">
        <f t="shared" si="68"/>
        <v/>
      </c>
      <c r="V186" s="9">
        <f t="shared" si="46"/>
        <v>0</v>
      </c>
      <c r="W186" s="9">
        <f t="shared" si="35"/>
        <v>7852.3200225830078</v>
      </c>
    </row>
    <row r="187" spans="1:23" x14ac:dyDescent="0.2">
      <c r="A187" s="6"/>
      <c r="B187" s="7"/>
      <c r="C187" s="7"/>
      <c r="D187" s="7"/>
      <c r="E187" s="7"/>
      <c r="F187" s="7"/>
      <c r="G187" s="7"/>
      <c r="I187" s="9">
        <f t="shared" si="57"/>
        <v>0</v>
      </c>
      <c r="J187" s="9">
        <f t="shared" si="58"/>
        <v>0</v>
      </c>
      <c r="K187" s="9">
        <f t="shared" si="59"/>
        <v>0</v>
      </c>
      <c r="L187" s="8">
        <f t="shared" si="60"/>
        <v>0</v>
      </c>
      <c r="M187" s="8">
        <f t="shared" si="61"/>
        <v>0</v>
      </c>
      <c r="N187" s="8">
        <f t="shared" si="62"/>
        <v>0</v>
      </c>
      <c r="P187" s="8">
        <f t="shared" si="63"/>
        <v>0</v>
      </c>
      <c r="Q187" s="8">
        <f t="shared" si="64"/>
        <v>0</v>
      </c>
      <c r="R187" s="8" t="str">
        <f t="shared" si="65"/>
        <v/>
      </c>
      <c r="S187" s="8" t="str">
        <f t="shared" si="66"/>
        <v/>
      </c>
      <c r="T187" s="8">
        <f t="shared" si="67"/>
        <v>0</v>
      </c>
      <c r="U187" s="9" t="str">
        <f t="shared" si="68"/>
        <v/>
      </c>
      <c r="V187" s="9">
        <f t="shared" si="46"/>
        <v>0</v>
      </c>
      <c r="W187" s="9">
        <f t="shared" si="35"/>
        <v>7852.3200225830078</v>
      </c>
    </row>
    <row r="188" spans="1:23" x14ac:dyDescent="0.2">
      <c r="A188" s="6"/>
      <c r="B188" s="7"/>
      <c r="C188" s="7"/>
      <c r="D188" s="7"/>
      <c r="E188" s="7"/>
      <c r="F188" s="7"/>
      <c r="G188" s="7"/>
      <c r="I188" s="9">
        <f t="shared" si="57"/>
        <v>0</v>
      </c>
      <c r="J188" s="9">
        <f t="shared" si="58"/>
        <v>0</v>
      </c>
      <c r="K188" s="9">
        <f t="shared" si="59"/>
        <v>0</v>
      </c>
      <c r="L188" s="8">
        <f t="shared" si="60"/>
        <v>0</v>
      </c>
      <c r="M188" s="8">
        <f t="shared" si="61"/>
        <v>0</v>
      </c>
      <c r="N188" s="8">
        <f t="shared" si="62"/>
        <v>0</v>
      </c>
      <c r="P188" s="8">
        <f t="shared" si="63"/>
        <v>0</v>
      </c>
      <c r="Q188" s="8">
        <f t="shared" si="64"/>
        <v>0</v>
      </c>
      <c r="R188" s="8" t="str">
        <f t="shared" si="65"/>
        <v/>
      </c>
      <c r="S188" s="8" t="str">
        <f t="shared" si="66"/>
        <v/>
      </c>
      <c r="T188" s="8">
        <f t="shared" si="67"/>
        <v>0</v>
      </c>
      <c r="U188" s="9" t="str">
        <f t="shared" si="68"/>
        <v/>
      </c>
      <c r="V188" s="9">
        <f t="shared" si="46"/>
        <v>0</v>
      </c>
      <c r="W188" s="9">
        <f t="shared" si="35"/>
        <v>7852.3200225830078</v>
      </c>
    </row>
    <row r="189" spans="1:23" x14ac:dyDescent="0.2">
      <c r="A189" s="6"/>
      <c r="B189" s="7"/>
      <c r="C189" s="7"/>
      <c r="D189" s="7"/>
      <c r="E189" s="7"/>
      <c r="F189" s="7"/>
      <c r="G189" s="7"/>
      <c r="I189" s="9">
        <f t="shared" si="57"/>
        <v>0</v>
      </c>
      <c r="J189" s="9">
        <f t="shared" si="58"/>
        <v>0</v>
      </c>
      <c r="K189" s="9">
        <f t="shared" si="59"/>
        <v>0</v>
      </c>
      <c r="L189" s="8">
        <f t="shared" si="60"/>
        <v>0</v>
      </c>
      <c r="M189" s="8">
        <f t="shared" si="61"/>
        <v>0</v>
      </c>
      <c r="N189" s="8">
        <f t="shared" si="62"/>
        <v>0</v>
      </c>
      <c r="P189" s="8">
        <f t="shared" si="63"/>
        <v>0</v>
      </c>
      <c r="Q189" s="8">
        <f t="shared" si="64"/>
        <v>0</v>
      </c>
      <c r="R189" s="8" t="str">
        <f t="shared" si="65"/>
        <v/>
      </c>
      <c r="S189" s="8" t="str">
        <f t="shared" si="66"/>
        <v/>
      </c>
      <c r="T189" s="8">
        <f t="shared" si="67"/>
        <v>0</v>
      </c>
      <c r="U189" s="9" t="str">
        <f t="shared" si="68"/>
        <v/>
      </c>
      <c r="V189" s="9">
        <f t="shared" si="46"/>
        <v>0</v>
      </c>
      <c r="W189" s="9">
        <f t="shared" si="35"/>
        <v>7852.3200225830078</v>
      </c>
    </row>
    <row r="190" spans="1:23" x14ac:dyDescent="0.2">
      <c r="A190" s="6"/>
      <c r="B190" s="7"/>
      <c r="C190" s="7"/>
      <c r="D190" s="7"/>
      <c r="E190" s="7"/>
      <c r="F190" s="7"/>
      <c r="G190" s="7"/>
      <c r="I190" s="9">
        <f t="shared" si="57"/>
        <v>0</v>
      </c>
      <c r="J190" s="9">
        <f t="shared" si="58"/>
        <v>0</v>
      </c>
      <c r="K190" s="9">
        <f t="shared" si="59"/>
        <v>0</v>
      </c>
      <c r="L190" s="8">
        <f t="shared" si="60"/>
        <v>0</v>
      </c>
      <c r="M190" s="8">
        <f t="shared" si="61"/>
        <v>0</v>
      </c>
      <c r="N190" s="8">
        <f t="shared" si="62"/>
        <v>0</v>
      </c>
      <c r="P190" s="8">
        <f t="shared" si="63"/>
        <v>0</v>
      </c>
      <c r="Q190" s="8">
        <f t="shared" si="64"/>
        <v>0</v>
      </c>
      <c r="R190" s="8" t="str">
        <f t="shared" si="65"/>
        <v/>
      </c>
      <c r="S190" s="8" t="str">
        <f t="shared" si="66"/>
        <v/>
      </c>
      <c r="T190" s="8">
        <f t="shared" si="67"/>
        <v>0</v>
      </c>
      <c r="U190" s="9" t="str">
        <f t="shared" si="68"/>
        <v/>
      </c>
      <c r="V190" s="9">
        <f t="shared" si="46"/>
        <v>0</v>
      </c>
      <c r="W190" s="9">
        <f t="shared" si="35"/>
        <v>7852.3200225830078</v>
      </c>
    </row>
    <row r="191" spans="1:23" x14ac:dyDescent="0.2">
      <c r="A191" s="6"/>
      <c r="B191" s="7"/>
      <c r="C191" s="7"/>
      <c r="D191" s="7"/>
      <c r="E191" s="7"/>
      <c r="F191" s="7"/>
      <c r="G191" s="7"/>
      <c r="I191" s="9">
        <f t="shared" si="57"/>
        <v>0</v>
      </c>
      <c r="J191" s="9">
        <f t="shared" si="58"/>
        <v>0</v>
      </c>
      <c r="K191" s="9">
        <f t="shared" si="59"/>
        <v>0</v>
      </c>
      <c r="L191" s="8">
        <f t="shared" si="60"/>
        <v>0</v>
      </c>
      <c r="M191" s="8">
        <f t="shared" si="61"/>
        <v>0</v>
      </c>
      <c r="N191" s="8">
        <f t="shared" si="62"/>
        <v>0</v>
      </c>
      <c r="P191" s="8">
        <f t="shared" si="63"/>
        <v>0</v>
      </c>
      <c r="Q191" s="8">
        <f t="shared" si="64"/>
        <v>0</v>
      </c>
      <c r="R191" s="8" t="str">
        <f t="shared" si="65"/>
        <v/>
      </c>
      <c r="S191" s="8" t="str">
        <f t="shared" si="66"/>
        <v/>
      </c>
      <c r="T191" s="8">
        <f t="shared" si="67"/>
        <v>0</v>
      </c>
      <c r="U191" s="9" t="str">
        <f t="shared" si="68"/>
        <v/>
      </c>
      <c r="V191" s="9">
        <f t="shared" si="46"/>
        <v>0</v>
      </c>
      <c r="W191" s="9">
        <f t="shared" si="35"/>
        <v>7852.3200225830078</v>
      </c>
    </row>
    <row r="192" spans="1:23" x14ac:dyDescent="0.2">
      <c r="A192" s="6"/>
      <c r="B192" s="7"/>
      <c r="C192" s="7"/>
      <c r="D192" s="7"/>
      <c r="E192" s="7"/>
      <c r="F192" s="7"/>
      <c r="G192" s="7"/>
      <c r="I192" s="9">
        <f t="shared" si="57"/>
        <v>0</v>
      </c>
      <c r="J192" s="9">
        <f t="shared" si="58"/>
        <v>0</v>
      </c>
      <c r="K192" s="9">
        <f t="shared" si="59"/>
        <v>0</v>
      </c>
      <c r="L192" s="8">
        <f t="shared" si="60"/>
        <v>0</v>
      </c>
      <c r="M192" s="8">
        <f t="shared" si="61"/>
        <v>0</v>
      </c>
      <c r="N192" s="8">
        <f t="shared" si="62"/>
        <v>0</v>
      </c>
      <c r="P192" s="8">
        <f t="shared" si="63"/>
        <v>0</v>
      </c>
      <c r="Q192" s="8">
        <f t="shared" si="64"/>
        <v>0</v>
      </c>
      <c r="R192" s="8" t="str">
        <f t="shared" si="65"/>
        <v/>
      </c>
      <c r="S192" s="8" t="str">
        <f t="shared" si="66"/>
        <v/>
      </c>
      <c r="T192" s="8">
        <f t="shared" si="67"/>
        <v>0</v>
      </c>
      <c r="U192" s="9" t="str">
        <f t="shared" si="68"/>
        <v/>
      </c>
      <c r="V192" s="9">
        <f t="shared" si="46"/>
        <v>0</v>
      </c>
      <c r="W192" s="9">
        <f t="shared" si="35"/>
        <v>7852.3200225830078</v>
      </c>
    </row>
    <row r="193" spans="1:23" x14ac:dyDescent="0.2">
      <c r="A193" s="6"/>
      <c r="B193" s="7"/>
      <c r="C193" s="7"/>
      <c r="D193" s="7"/>
      <c r="E193" s="7"/>
      <c r="F193" s="7"/>
      <c r="G193" s="7"/>
      <c r="I193" s="9">
        <f t="shared" si="57"/>
        <v>0</v>
      </c>
      <c r="J193" s="9">
        <f t="shared" si="58"/>
        <v>0</v>
      </c>
      <c r="K193" s="9">
        <f t="shared" si="59"/>
        <v>0</v>
      </c>
      <c r="L193" s="8">
        <f t="shared" si="60"/>
        <v>0</v>
      </c>
      <c r="M193" s="8">
        <f t="shared" si="61"/>
        <v>0</v>
      </c>
      <c r="N193" s="8">
        <f t="shared" si="62"/>
        <v>0</v>
      </c>
      <c r="P193" s="8">
        <f t="shared" si="63"/>
        <v>0</v>
      </c>
      <c r="Q193" s="8">
        <f t="shared" si="64"/>
        <v>0</v>
      </c>
      <c r="R193" s="8" t="str">
        <f t="shared" si="65"/>
        <v/>
      </c>
      <c r="S193" s="8" t="str">
        <f t="shared" si="66"/>
        <v/>
      </c>
      <c r="T193" s="8">
        <f t="shared" si="67"/>
        <v>0</v>
      </c>
      <c r="U193" s="9" t="str">
        <f t="shared" si="68"/>
        <v/>
      </c>
      <c r="V193" s="9">
        <f t="shared" si="46"/>
        <v>0</v>
      </c>
      <c r="W193" s="9">
        <f t="shared" si="35"/>
        <v>7852.3200225830078</v>
      </c>
    </row>
    <row r="194" spans="1:23" x14ac:dyDescent="0.2">
      <c r="A194" s="6"/>
      <c r="B194" s="7"/>
      <c r="C194" s="7"/>
      <c r="D194" s="7"/>
      <c r="E194" s="7"/>
      <c r="F194" s="7"/>
      <c r="G194" s="7"/>
    </row>
    <row r="195" spans="1:23" x14ac:dyDescent="0.2">
      <c r="A195" s="6"/>
      <c r="B195" s="7"/>
      <c r="C195" s="7"/>
      <c r="D195" s="7"/>
      <c r="E195" s="7"/>
      <c r="F195" s="7"/>
      <c r="G195" s="7"/>
    </row>
    <row r="196" spans="1:23" x14ac:dyDescent="0.2">
      <c r="A196" s="6"/>
      <c r="B196" s="7"/>
      <c r="C196" s="7"/>
      <c r="D196" s="7"/>
      <c r="E196" s="7"/>
      <c r="F196" s="7"/>
      <c r="G196" s="7"/>
    </row>
    <row r="197" spans="1:23" x14ac:dyDescent="0.2">
      <c r="A197" s="6"/>
      <c r="B197" s="7"/>
      <c r="C197" s="7"/>
      <c r="D197" s="7"/>
      <c r="E197" s="7"/>
      <c r="F197" s="7"/>
      <c r="G197" s="7"/>
    </row>
    <row r="198" spans="1:23" x14ac:dyDescent="0.2">
      <c r="A198" s="6"/>
      <c r="B198" s="7"/>
      <c r="C198" s="7"/>
      <c r="D198" s="7"/>
      <c r="E198" s="7"/>
      <c r="F198" s="7"/>
      <c r="G198" s="7"/>
    </row>
    <row r="199" spans="1:23" x14ac:dyDescent="0.2">
      <c r="A199" s="6"/>
      <c r="B199" s="7"/>
      <c r="C199" s="7"/>
      <c r="D199" s="7"/>
      <c r="E199" s="7"/>
      <c r="F199" s="7"/>
      <c r="G199" s="7"/>
    </row>
    <row r="200" spans="1:23" x14ac:dyDescent="0.2">
      <c r="A200" s="6"/>
      <c r="B200" s="7"/>
      <c r="C200" s="7"/>
      <c r="D200" s="7"/>
      <c r="E200" s="7"/>
      <c r="F200" s="7"/>
      <c r="G200" s="7"/>
    </row>
    <row r="201" spans="1:23" x14ac:dyDescent="0.2">
      <c r="A201" s="6"/>
      <c r="B201" s="7"/>
      <c r="C201" s="7"/>
      <c r="D201" s="7"/>
      <c r="E201" s="7"/>
      <c r="F201" s="7"/>
      <c r="G201" s="7"/>
    </row>
    <row r="202" spans="1:23" x14ac:dyDescent="0.2">
      <c r="A202" s="6"/>
      <c r="B202" s="7"/>
      <c r="C202" s="7"/>
      <c r="D202" s="7"/>
      <c r="E202" s="7"/>
      <c r="F202" s="7"/>
      <c r="G202" s="7"/>
    </row>
    <row r="203" spans="1:23" x14ac:dyDescent="0.2">
      <c r="A203" s="6"/>
      <c r="B203" s="7"/>
      <c r="C203" s="7"/>
      <c r="D203" s="7"/>
      <c r="E203" s="7"/>
      <c r="F203" s="7"/>
      <c r="G203" s="7"/>
    </row>
    <row r="204" spans="1:23" x14ac:dyDescent="0.2">
      <c r="A204" s="6"/>
      <c r="B204" s="7"/>
      <c r="C204" s="7"/>
      <c r="D204" s="7"/>
      <c r="E204" s="7"/>
      <c r="F204" s="7"/>
      <c r="G204" s="7"/>
    </row>
    <row r="205" spans="1:23" x14ac:dyDescent="0.2">
      <c r="A205" s="6"/>
      <c r="B205" s="7"/>
      <c r="C205" s="7"/>
      <c r="D205" s="7"/>
      <c r="E205" s="7"/>
      <c r="F205" s="7"/>
      <c r="G205" s="7"/>
    </row>
    <row r="206" spans="1:23" x14ac:dyDescent="0.2">
      <c r="A206" s="6"/>
      <c r="B206" s="7"/>
      <c r="C206" s="7"/>
      <c r="D206" s="7"/>
      <c r="E206" s="7"/>
      <c r="F206" s="7"/>
      <c r="G206" s="7"/>
    </row>
    <row r="207" spans="1:23" x14ac:dyDescent="0.2">
      <c r="A207" s="6"/>
      <c r="B207" s="7"/>
      <c r="C207" s="7"/>
      <c r="D207" s="7"/>
      <c r="E207" s="7"/>
      <c r="F207" s="7"/>
      <c r="G207" s="7"/>
    </row>
    <row r="208" spans="1:23" x14ac:dyDescent="0.2">
      <c r="A208" s="6"/>
      <c r="B208" s="7"/>
      <c r="C208" s="7"/>
      <c r="D208" s="7"/>
      <c r="E208" s="7"/>
      <c r="F208" s="7"/>
      <c r="G208" s="7"/>
    </row>
    <row r="209" spans="1:7" x14ac:dyDescent="0.2">
      <c r="A209" s="6"/>
      <c r="B209" s="7"/>
      <c r="C209" s="7"/>
      <c r="D209" s="7"/>
      <c r="E209" s="7"/>
      <c r="F209" s="7"/>
      <c r="G209" s="7"/>
    </row>
    <row r="210" spans="1:7" x14ac:dyDescent="0.2">
      <c r="A210" s="6"/>
      <c r="B210" s="7"/>
      <c r="C210" s="7"/>
      <c r="D210" s="7"/>
      <c r="E210" s="7"/>
      <c r="F210" s="7"/>
      <c r="G210" s="7"/>
    </row>
    <row r="211" spans="1:7" x14ac:dyDescent="0.2">
      <c r="A211" s="6"/>
      <c r="B211" s="7"/>
      <c r="C211" s="7"/>
      <c r="D211" s="7"/>
      <c r="E211" s="7"/>
      <c r="F211" s="7"/>
      <c r="G211" s="7"/>
    </row>
    <row r="212" spans="1:7" x14ac:dyDescent="0.2">
      <c r="A212" s="6"/>
      <c r="B212" s="7"/>
      <c r="C212" s="7"/>
      <c r="D212" s="7"/>
      <c r="E212" s="7"/>
      <c r="F212" s="7"/>
      <c r="G212" s="7"/>
    </row>
    <row r="213" spans="1:7" x14ac:dyDescent="0.2">
      <c r="A213" s="6"/>
      <c r="B213" s="7"/>
      <c r="C213" s="7"/>
      <c r="D213" s="7"/>
      <c r="E213" s="7"/>
      <c r="F213" s="7"/>
      <c r="G213" s="7"/>
    </row>
    <row r="214" spans="1:7" x14ac:dyDescent="0.2">
      <c r="A214" s="6"/>
      <c r="B214" s="7"/>
      <c r="C214" s="7"/>
      <c r="D214" s="7"/>
      <c r="E214" s="7"/>
      <c r="F214" s="7"/>
      <c r="G214" s="7"/>
    </row>
    <row r="215" spans="1:7" x14ac:dyDescent="0.2">
      <c r="A215" s="6"/>
      <c r="B215" s="7"/>
      <c r="C215" s="7"/>
      <c r="D215" s="7"/>
      <c r="E215" s="7"/>
      <c r="F215" s="7"/>
      <c r="G215" s="7"/>
    </row>
    <row r="216" spans="1:7" x14ac:dyDescent="0.2">
      <c r="A216" s="6"/>
      <c r="B216" s="7"/>
      <c r="C216" s="7"/>
      <c r="D216" s="7"/>
      <c r="E216" s="7"/>
      <c r="F216" s="7"/>
      <c r="G216" s="7"/>
    </row>
    <row r="217" spans="1:7" x14ac:dyDescent="0.2">
      <c r="A217" s="6"/>
      <c r="B217" s="7"/>
      <c r="C217" s="7"/>
      <c r="D217" s="7"/>
      <c r="E217" s="7"/>
      <c r="F217" s="7"/>
      <c r="G217" s="7"/>
    </row>
    <row r="218" spans="1:7" x14ac:dyDescent="0.2">
      <c r="A218" s="6"/>
      <c r="B218" s="7"/>
      <c r="C218" s="7"/>
      <c r="D218" s="7"/>
      <c r="E218" s="7"/>
      <c r="F218" s="7"/>
      <c r="G218" s="7"/>
    </row>
    <row r="219" spans="1:7" x14ac:dyDescent="0.2">
      <c r="A219" s="6"/>
      <c r="B219" s="7"/>
      <c r="C219" s="7"/>
      <c r="D219" s="7"/>
      <c r="E219" s="7"/>
      <c r="F219" s="7"/>
      <c r="G219" s="7"/>
    </row>
    <row r="220" spans="1:7" x14ac:dyDescent="0.2">
      <c r="A220" s="6"/>
      <c r="B220" s="7"/>
      <c r="C220" s="7"/>
      <c r="D220" s="7"/>
      <c r="E220" s="7"/>
      <c r="F220" s="7"/>
      <c r="G220" s="7"/>
    </row>
    <row r="221" spans="1:7" x14ac:dyDescent="0.2">
      <c r="A221" s="6"/>
      <c r="B221" s="7"/>
      <c r="C221" s="7"/>
      <c r="D221" s="7"/>
      <c r="E221" s="7"/>
      <c r="F221" s="7"/>
      <c r="G221" s="7"/>
    </row>
    <row r="222" spans="1:7" x14ac:dyDescent="0.2">
      <c r="A222" s="6"/>
      <c r="B222" s="7"/>
      <c r="C222" s="7"/>
      <c r="D222" s="7"/>
      <c r="E222" s="7"/>
      <c r="F222" s="7"/>
      <c r="G222" s="7"/>
    </row>
    <row r="223" spans="1:7" x14ac:dyDescent="0.2">
      <c r="A223" s="6"/>
      <c r="B223" s="7"/>
      <c r="C223" s="7"/>
      <c r="D223" s="7"/>
      <c r="E223" s="7"/>
      <c r="F223" s="7"/>
      <c r="G223" s="7"/>
    </row>
    <row r="224" spans="1:7" x14ac:dyDescent="0.2">
      <c r="A224" s="6"/>
      <c r="B224" s="7"/>
      <c r="C224" s="7"/>
      <c r="D224" s="7"/>
      <c r="E224" s="7"/>
      <c r="F224" s="7"/>
      <c r="G224" s="7"/>
    </row>
    <row r="225" spans="1:7" x14ac:dyDescent="0.2">
      <c r="A225" s="6"/>
      <c r="B225" s="7"/>
      <c r="C225" s="7"/>
      <c r="D225" s="7"/>
      <c r="E225" s="7"/>
      <c r="F225" s="7"/>
      <c r="G225" s="7"/>
    </row>
    <row r="226" spans="1:7" x14ac:dyDescent="0.2">
      <c r="A226" s="6"/>
      <c r="B226" s="7"/>
      <c r="C226" s="7"/>
      <c r="D226" s="7"/>
      <c r="E226" s="7"/>
      <c r="F226" s="7"/>
      <c r="G226" s="7"/>
    </row>
    <row r="227" spans="1:7" x14ac:dyDescent="0.2">
      <c r="A227" s="6"/>
      <c r="B227" s="7"/>
      <c r="C227" s="7"/>
      <c r="D227" s="7"/>
      <c r="E227" s="7"/>
      <c r="F227" s="7"/>
      <c r="G227" s="7"/>
    </row>
    <row r="228" spans="1:7" x14ac:dyDescent="0.2">
      <c r="A228" s="6"/>
      <c r="B228" s="7"/>
      <c r="C228" s="7"/>
      <c r="D228" s="7"/>
      <c r="E228" s="7"/>
      <c r="F228" s="7"/>
      <c r="G228" s="7"/>
    </row>
    <row r="229" spans="1:7" x14ac:dyDescent="0.2">
      <c r="A229" s="6"/>
      <c r="B229" s="7"/>
      <c r="C229" s="7"/>
      <c r="D229" s="7"/>
      <c r="E229" s="7"/>
      <c r="F229" s="7"/>
      <c r="G229" s="7"/>
    </row>
    <row r="230" spans="1:7" x14ac:dyDescent="0.2">
      <c r="A230" s="6"/>
      <c r="B230" s="7"/>
      <c r="C230" s="7"/>
      <c r="D230" s="7"/>
      <c r="E230" s="7"/>
      <c r="F230" s="7"/>
      <c r="G230" s="7"/>
    </row>
    <row r="231" spans="1:7" x14ac:dyDescent="0.2">
      <c r="A231" s="6"/>
      <c r="B231" s="7"/>
      <c r="C231" s="7"/>
      <c r="D231" s="7"/>
      <c r="E231" s="7"/>
      <c r="F231" s="7"/>
      <c r="G231" s="7"/>
    </row>
    <row r="232" spans="1:7" x14ac:dyDescent="0.2">
      <c r="A232" s="6"/>
      <c r="B232" s="7"/>
      <c r="C232" s="7"/>
      <c r="D232" s="7"/>
      <c r="E232" s="7"/>
      <c r="F232" s="7"/>
      <c r="G232" s="7"/>
    </row>
    <row r="233" spans="1:7" x14ac:dyDescent="0.2">
      <c r="A233" s="6"/>
      <c r="B233" s="7"/>
      <c r="C233" s="7"/>
      <c r="D233" s="7"/>
      <c r="E233" s="7"/>
      <c r="F233" s="7"/>
      <c r="G233" s="7"/>
    </row>
    <row r="234" spans="1:7" x14ac:dyDescent="0.2">
      <c r="A234" s="6"/>
      <c r="B234" s="7"/>
      <c r="C234" s="7"/>
      <c r="D234" s="7"/>
      <c r="E234" s="7"/>
      <c r="F234" s="7"/>
      <c r="G234" s="7"/>
    </row>
    <row r="235" spans="1:7" x14ac:dyDescent="0.2">
      <c r="A235" s="6"/>
      <c r="B235" s="7"/>
      <c r="C235" s="7"/>
      <c r="D235" s="7"/>
      <c r="E235" s="7"/>
      <c r="F235" s="7"/>
      <c r="G235" s="7"/>
    </row>
    <row r="236" spans="1:7" x14ac:dyDescent="0.2">
      <c r="A236" s="6"/>
      <c r="B236" s="7"/>
      <c r="C236" s="7"/>
      <c r="D236" s="7"/>
      <c r="E236" s="7"/>
      <c r="F236" s="7"/>
      <c r="G236" s="7"/>
    </row>
    <row r="237" spans="1:7" x14ac:dyDescent="0.2">
      <c r="A237" s="6"/>
      <c r="B237" s="7"/>
      <c r="C237" s="7"/>
      <c r="D237" s="7"/>
      <c r="E237" s="7"/>
      <c r="F237" s="7"/>
      <c r="G237" s="7"/>
    </row>
    <row r="238" spans="1:7" x14ac:dyDescent="0.2">
      <c r="A238" s="6"/>
      <c r="B238" s="7"/>
      <c r="C238" s="7"/>
      <c r="D238" s="7"/>
      <c r="E238" s="7"/>
      <c r="F238" s="7"/>
      <c r="G238" s="7"/>
    </row>
    <row r="239" spans="1:7" x14ac:dyDescent="0.2">
      <c r="A239" s="6"/>
      <c r="B239" s="7"/>
      <c r="C239" s="7"/>
      <c r="D239" s="7"/>
      <c r="E239" s="7"/>
      <c r="F239" s="7"/>
      <c r="G239" s="7"/>
    </row>
    <row r="240" spans="1:7" x14ac:dyDescent="0.2">
      <c r="A240" s="6"/>
      <c r="B240" s="7"/>
      <c r="C240" s="7"/>
      <c r="D240" s="7"/>
      <c r="E240" s="7"/>
      <c r="F240" s="7"/>
      <c r="G240" s="7"/>
    </row>
    <row r="241" spans="1:7" x14ac:dyDescent="0.2">
      <c r="A241" s="6"/>
      <c r="B241" s="7"/>
      <c r="C241" s="7"/>
      <c r="D241" s="7"/>
      <c r="E241" s="7"/>
      <c r="F241" s="7"/>
      <c r="G241" s="7"/>
    </row>
    <row r="242" spans="1:7" x14ac:dyDescent="0.2">
      <c r="A242" s="6"/>
      <c r="B242" s="7"/>
      <c r="C242" s="7"/>
      <c r="D242" s="7"/>
      <c r="E242" s="7"/>
      <c r="F242" s="7"/>
      <c r="G242" s="7"/>
    </row>
    <row r="243" spans="1:7" x14ac:dyDescent="0.2">
      <c r="A243" s="6"/>
      <c r="B243" s="7"/>
      <c r="C243" s="7"/>
      <c r="D243" s="7"/>
      <c r="E243" s="7"/>
      <c r="F243" s="7"/>
      <c r="G243" s="7"/>
    </row>
    <row r="244" spans="1:7" x14ac:dyDescent="0.2">
      <c r="A244" s="6"/>
      <c r="B244" s="7"/>
      <c r="C244" s="7"/>
      <c r="D244" s="7"/>
      <c r="E244" s="7"/>
      <c r="F244" s="7"/>
      <c r="G244" s="7"/>
    </row>
    <row r="245" spans="1:7" x14ac:dyDescent="0.2">
      <c r="A245" s="6"/>
      <c r="B245" s="7"/>
      <c r="C245" s="7"/>
      <c r="D245" s="7"/>
      <c r="E245" s="7"/>
      <c r="F245" s="7"/>
      <c r="G245" s="7"/>
    </row>
    <row r="246" spans="1:7" x14ac:dyDescent="0.2">
      <c r="A246" s="6"/>
      <c r="B246" s="7"/>
      <c r="C246" s="7"/>
      <c r="D246" s="7"/>
      <c r="E246" s="7"/>
      <c r="F246" s="7"/>
      <c r="G246" s="7"/>
    </row>
    <row r="247" spans="1:7" x14ac:dyDescent="0.2">
      <c r="A247" s="6"/>
      <c r="B247" s="7"/>
      <c r="C247" s="7"/>
      <c r="D247" s="7"/>
      <c r="E247" s="7"/>
      <c r="F247" s="7"/>
      <c r="G247" s="7"/>
    </row>
    <row r="248" spans="1:7" x14ac:dyDescent="0.2">
      <c r="A248" s="6"/>
      <c r="B248" s="7"/>
      <c r="C248" s="7"/>
      <c r="D248" s="7"/>
      <c r="E248" s="7"/>
      <c r="F248" s="7"/>
      <c r="G248" s="7"/>
    </row>
    <row r="249" spans="1:7" x14ac:dyDescent="0.2">
      <c r="A249" s="6"/>
      <c r="B249" s="7"/>
      <c r="C249" s="7"/>
      <c r="D249" s="7"/>
      <c r="E249" s="7"/>
      <c r="F249" s="7"/>
      <c r="G249" s="7"/>
    </row>
    <row r="250" spans="1:7" x14ac:dyDescent="0.2">
      <c r="A250" s="6"/>
      <c r="B250" s="7"/>
      <c r="C250" s="7"/>
      <c r="D250" s="7"/>
      <c r="E250" s="7"/>
      <c r="F250" s="7"/>
      <c r="G250" s="7"/>
    </row>
    <row r="251" spans="1:7" x14ac:dyDescent="0.2">
      <c r="A251" s="6"/>
      <c r="B251" s="7"/>
      <c r="C251" s="7"/>
      <c r="D251" s="7"/>
      <c r="E251" s="7"/>
      <c r="F251" s="7"/>
      <c r="G251" s="7"/>
    </row>
    <row r="252" spans="1:7" x14ac:dyDescent="0.2">
      <c r="A252" s="6"/>
      <c r="B252" s="7"/>
      <c r="C252" s="7"/>
      <c r="D252" s="7"/>
      <c r="E252" s="7"/>
      <c r="F252" s="7"/>
      <c r="G252" s="7"/>
    </row>
    <row r="253" spans="1:7" x14ac:dyDescent="0.2">
      <c r="A253" s="6"/>
      <c r="B253" s="7"/>
      <c r="C253" s="7"/>
      <c r="D253" s="7"/>
      <c r="E253" s="7"/>
      <c r="F253" s="7"/>
      <c r="G253" s="7"/>
    </row>
    <row r="254" spans="1:7" x14ac:dyDescent="0.2">
      <c r="A254" s="6"/>
      <c r="B254" s="7"/>
      <c r="C254" s="7"/>
      <c r="D254" s="7"/>
      <c r="E254" s="7"/>
      <c r="F254" s="7"/>
      <c r="G254" s="7"/>
    </row>
    <row r="255" spans="1:7" x14ac:dyDescent="0.2">
      <c r="A255" s="6"/>
      <c r="B255" s="7"/>
      <c r="C255" s="7"/>
      <c r="D255" s="7"/>
      <c r="E255" s="7"/>
      <c r="F255" s="7"/>
      <c r="G255" s="7"/>
    </row>
    <row r="256" spans="1:7" x14ac:dyDescent="0.2">
      <c r="A256" s="6"/>
      <c r="B256" s="7"/>
      <c r="C256" s="7"/>
      <c r="D256" s="7"/>
      <c r="E256" s="7"/>
      <c r="F256" s="7"/>
      <c r="G256" s="7"/>
    </row>
    <row r="257" spans="1:7" x14ac:dyDescent="0.2">
      <c r="A257" s="6"/>
      <c r="B257" s="7"/>
      <c r="C257" s="7"/>
      <c r="D257" s="7"/>
      <c r="E257" s="7"/>
      <c r="F257" s="7"/>
      <c r="G257" s="7"/>
    </row>
    <row r="258" spans="1:7" x14ac:dyDescent="0.2">
      <c r="A258" s="6"/>
      <c r="B258" s="7"/>
      <c r="C258" s="7"/>
      <c r="D258" s="7"/>
      <c r="E258" s="7"/>
      <c r="F258" s="7"/>
      <c r="G258" s="7"/>
    </row>
    <row r="259" spans="1:7" x14ac:dyDescent="0.2">
      <c r="A259" s="6"/>
      <c r="B259" s="7"/>
      <c r="C259" s="7"/>
      <c r="D259" s="7"/>
      <c r="E259" s="7"/>
      <c r="F259" s="7"/>
      <c r="G259" s="7"/>
    </row>
    <row r="260" spans="1:7" x14ac:dyDescent="0.2">
      <c r="A260" s="6"/>
      <c r="B260" s="7"/>
      <c r="C260" s="7"/>
      <c r="D260" s="7"/>
      <c r="E260" s="7"/>
      <c r="F260" s="7"/>
      <c r="G260" s="7"/>
    </row>
    <row r="261" spans="1:7" x14ac:dyDescent="0.2">
      <c r="A261" s="6"/>
      <c r="B261" s="7"/>
      <c r="C261" s="7"/>
      <c r="D261" s="7"/>
      <c r="E261" s="7"/>
      <c r="F261" s="7"/>
      <c r="G261" s="7"/>
    </row>
    <row r="262" spans="1:7" x14ac:dyDescent="0.2">
      <c r="A262" s="6"/>
      <c r="B262" s="7"/>
      <c r="C262" s="7"/>
      <c r="D262" s="7"/>
      <c r="E262" s="7"/>
      <c r="F262" s="7"/>
      <c r="G262" s="7"/>
    </row>
    <row r="263" spans="1:7" x14ac:dyDescent="0.2">
      <c r="A263" s="6"/>
      <c r="B263" s="7"/>
      <c r="C263" s="7"/>
      <c r="D263" s="7"/>
      <c r="E263" s="7"/>
      <c r="F263" s="7"/>
      <c r="G263" s="7"/>
    </row>
    <row r="264" spans="1:7" x14ac:dyDescent="0.2">
      <c r="A264" s="6"/>
      <c r="B264" s="7"/>
      <c r="C264" s="7"/>
      <c r="D264" s="7"/>
      <c r="E264" s="7"/>
      <c r="F264" s="7"/>
      <c r="G264" s="7"/>
    </row>
    <row r="265" spans="1:7" x14ac:dyDescent="0.2">
      <c r="A265" s="6"/>
      <c r="B265" s="7"/>
      <c r="C265" s="7"/>
      <c r="D265" s="7"/>
      <c r="E265" s="7"/>
      <c r="F265" s="7"/>
      <c r="G265" s="7"/>
    </row>
    <row r="266" spans="1:7" x14ac:dyDescent="0.2">
      <c r="A266" s="6"/>
      <c r="B266" s="7"/>
      <c r="C266" s="7"/>
      <c r="D266" s="7"/>
      <c r="E266" s="7"/>
      <c r="F266" s="7"/>
      <c r="G266" s="7"/>
    </row>
    <row r="267" spans="1:7" x14ac:dyDescent="0.2">
      <c r="A267" s="6"/>
      <c r="B267" s="7"/>
      <c r="C267" s="7"/>
      <c r="D267" s="7"/>
      <c r="E267" s="7"/>
      <c r="F267" s="7"/>
      <c r="G267" s="7"/>
    </row>
    <row r="268" spans="1:7" x14ac:dyDescent="0.2">
      <c r="A268" s="6"/>
      <c r="B268" s="7"/>
      <c r="C268" s="7"/>
      <c r="D268" s="7"/>
      <c r="E268" s="7"/>
      <c r="F268" s="7"/>
      <c r="G268" s="7"/>
    </row>
    <row r="269" spans="1:7" x14ac:dyDescent="0.2">
      <c r="A269" s="6"/>
      <c r="B269" s="7"/>
      <c r="C269" s="7"/>
      <c r="D269" s="7"/>
      <c r="E269" s="7"/>
      <c r="F269" s="7"/>
      <c r="G269" s="7"/>
    </row>
    <row r="270" spans="1:7" x14ac:dyDescent="0.2">
      <c r="A270" s="6"/>
      <c r="B270" s="7"/>
      <c r="C270" s="7"/>
      <c r="D270" s="7"/>
      <c r="E270" s="7"/>
      <c r="F270" s="7"/>
      <c r="G270" s="7"/>
    </row>
    <row r="271" spans="1:7" x14ac:dyDescent="0.2">
      <c r="A271" s="6"/>
      <c r="B271" s="7"/>
      <c r="C271" s="7"/>
      <c r="D271" s="7"/>
      <c r="E271" s="7"/>
      <c r="F271" s="7"/>
      <c r="G271" s="7"/>
    </row>
    <row r="272" spans="1:7" x14ac:dyDescent="0.2">
      <c r="A272" s="6"/>
      <c r="B272" s="7"/>
      <c r="C272" s="7"/>
      <c r="D272" s="7"/>
      <c r="E272" s="7"/>
      <c r="F272" s="7"/>
      <c r="G272" s="7"/>
    </row>
    <row r="273" spans="1:7" x14ac:dyDescent="0.2">
      <c r="A273" s="6"/>
      <c r="B273" s="7"/>
      <c r="C273" s="7"/>
      <c r="D273" s="7"/>
      <c r="E273" s="7"/>
      <c r="F273" s="7"/>
      <c r="G273" s="7"/>
    </row>
    <row r="274" spans="1:7" x14ac:dyDescent="0.2">
      <c r="A274" s="6"/>
      <c r="B274" s="7"/>
      <c r="C274" s="7"/>
      <c r="D274" s="7"/>
      <c r="E274" s="7"/>
      <c r="F274" s="7"/>
      <c r="G274" s="7"/>
    </row>
    <row r="275" spans="1:7" x14ac:dyDescent="0.2">
      <c r="A275" s="6"/>
      <c r="B275" s="7"/>
      <c r="C275" s="7"/>
      <c r="D275" s="7"/>
      <c r="E275" s="7"/>
      <c r="F275" s="7"/>
      <c r="G275" s="7"/>
    </row>
    <row r="276" spans="1:7" x14ac:dyDescent="0.2">
      <c r="A276" s="6"/>
      <c r="B276" s="7"/>
      <c r="C276" s="7"/>
      <c r="D276" s="7"/>
      <c r="E276" s="7"/>
      <c r="F276" s="7"/>
      <c r="G276" s="7"/>
    </row>
    <row r="277" spans="1:7" x14ac:dyDescent="0.2">
      <c r="A277" s="6"/>
      <c r="B277" s="7"/>
      <c r="C277" s="7"/>
      <c r="D277" s="7"/>
      <c r="E277" s="7"/>
      <c r="F277" s="7"/>
      <c r="G277" s="7"/>
    </row>
    <row r="278" spans="1:7" x14ac:dyDescent="0.2">
      <c r="A278" s="6"/>
      <c r="B278" s="7"/>
      <c r="C278" s="7"/>
      <c r="D278" s="7"/>
      <c r="E278" s="7"/>
      <c r="F278" s="7"/>
      <c r="G278" s="7"/>
    </row>
    <row r="279" spans="1:7" x14ac:dyDescent="0.2">
      <c r="A279" s="6"/>
      <c r="B279" s="7"/>
      <c r="C279" s="7"/>
      <c r="D279" s="7"/>
      <c r="E279" s="7"/>
      <c r="F279" s="7"/>
      <c r="G279" s="7"/>
    </row>
    <row r="280" spans="1:7" x14ac:dyDescent="0.2">
      <c r="A280" s="6"/>
      <c r="B280" s="7"/>
      <c r="C280" s="7"/>
      <c r="D280" s="7"/>
      <c r="E280" s="7"/>
      <c r="F280" s="7"/>
      <c r="G280" s="7"/>
    </row>
    <row r="281" spans="1:7" x14ac:dyDescent="0.2">
      <c r="A281" s="6"/>
      <c r="B281" s="7"/>
      <c r="C281" s="7"/>
      <c r="D281" s="7"/>
      <c r="E281" s="7"/>
      <c r="F281" s="7"/>
      <c r="G281" s="7"/>
    </row>
    <row r="282" spans="1:7" x14ac:dyDescent="0.2">
      <c r="A282" s="6"/>
      <c r="B282" s="7"/>
      <c r="C282" s="7"/>
      <c r="D282" s="7"/>
      <c r="E282" s="7"/>
      <c r="F282" s="7"/>
      <c r="G282" s="7"/>
    </row>
    <row r="283" spans="1:7" x14ac:dyDescent="0.2">
      <c r="A283" s="6"/>
      <c r="B283" s="7"/>
      <c r="C283" s="7"/>
      <c r="D283" s="7"/>
      <c r="E283" s="7"/>
      <c r="F283" s="7"/>
      <c r="G283" s="7"/>
    </row>
    <row r="284" spans="1:7" x14ac:dyDescent="0.2">
      <c r="A284" s="6"/>
      <c r="B284" s="7"/>
      <c r="C284" s="7"/>
      <c r="D284" s="7"/>
      <c r="E284" s="7"/>
      <c r="F284" s="7"/>
      <c r="G284" s="7"/>
    </row>
    <row r="285" spans="1:7" x14ac:dyDescent="0.2">
      <c r="A285" s="6"/>
      <c r="B285" s="7"/>
      <c r="C285" s="7"/>
      <c r="D285" s="7"/>
      <c r="E285" s="7"/>
      <c r="F285" s="7"/>
      <c r="G285" s="7"/>
    </row>
    <row r="286" spans="1:7" x14ac:dyDescent="0.2">
      <c r="A286" s="6"/>
      <c r="B286" s="7"/>
      <c r="C286" s="7"/>
      <c r="D286" s="7"/>
      <c r="E286" s="7"/>
      <c r="F286" s="7"/>
      <c r="G286" s="7"/>
    </row>
    <row r="287" spans="1:7" x14ac:dyDescent="0.2">
      <c r="A287" s="6"/>
      <c r="B287" s="7"/>
      <c r="C287" s="7"/>
      <c r="D287" s="7"/>
      <c r="E287" s="7"/>
      <c r="F287" s="7"/>
      <c r="G287" s="7"/>
    </row>
    <row r="288" spans="1:7" x14ac:dyDescent="0.2">
      <c r="A288" s="6"/>
      <c r="B288" s="7"/>
      <c r="C288" s="7"/>
      <c r="D288" s="7"/>
      <c r="E288" s="7"/>
      <c r="F288" s="7"/>
      <c r="G288" s="7"/>
    </row>
    <row r="289" spans="1:7" x14ac:dyDescent="0.2">
      <c r="A289" s="6"/>
      <c r="B289" s="7"/>
      <c r="C289" s="7"/>
      <c r="D289" s="7"/>
      <c r="E289" s="7"/>
      <c r="F289" s="7"/>
      <c r="G289" s="7"/>
    </row>
    <row r="290" spans="1:7" x14ac:dyDescent="0.2">
      <c r="A290" s="6"/>
      <c r="B290" s="7"/>
      <c r="C290" s="7"/>
      <c r="D290" s="7"/>
      <c r="E290" s="7"/>
      <c r="F290" s="7"/>
      <c r="G290" s="7"/>
    </row>
    <row r="291" spans="1:7" x14ac:dyDescent="0.2">
      <c r="A291" s="6"/>
      <c r="B291" s="7"/>
      <c r="C291" s="7"/>
      <c r="D291" s="7"/>
      <c r="E291" s="7"/>
      <c r="F291" s="7"/>
      <c r="G291" s="7"/>
    </row>
    <row r="292" spans="1:7" x14ac:dyDescent="0.2">
      <c r="A292" s="6"/>
      <c r="B292" s="7"/>
      <c r="C292" s="7"/>
      <c r="D292" s="7"/>
      <c r="E292" s="7"/>
      <c r="F292" s="7"/>
      <c r="G292" s="7"/>
    </row>
    <row r="293" spans="1:7" x14ac:dyDescent="0.2">
      <c r="A293" s="6"/>
      <c r="B293" s="7"/>
      <c r="C293" s="7"/>
      <c r="D293" s="7"/>
      <c r="E293" s="7"/>
      <c r="F293" s="7"/>
      <c r="G293" s="7"/>
    </row>
    <row r="294" spans="1:7" x14ac:dyDescent="0.2">
      <c r="A294" s="6"/>
      <c r="B294" s="7"/>
      <c r="C294" s="7"/>
      <c r="D294" s="7"/>
      <c r="E294" s="7"/>
      <c r="F294" s="7"/>
      <c r="G294" s="7"/>
    </row>
    <row r="295" spans="1:7" x14ac:dyDescent="0.2">
      <c r="A295" s="6"/>
      <c r="B295" s="7"/>
      <c r="C295" s="7"/>
      <c r="D295" s="7"/>
      <c r="E295" s="7"/>
      <c r="F295" s="7"/>
      <c r="G295" s="7"/>
    </row>
    <row r="296" spans="1:7" x14ac:dyDescent="0.2">
      <c r="A296" s="6"/>
      <c r="B296" s="7"/>
      <c r="C296" s="7"/>
      <c r="D296" s="7"/>
      <c r="E296" s="7"/>
      <c r="F296" s="7"/>
      <c r="G296" s="7"/>
    </row>
    <row r="297" spans="1:7" x14ac:dyDescent="0.2">
      <c r="A297" s="6"/>
      <c r="B297" s="7"/>
      <c r="C297" s="7"/>
      <c r="D297" s="7"/>
      <c r="E297" s="7"/>
      <c r="F297" s="7"/>
      <c r="G297" s="7"/>
    </row>
    <row r="298" spans="1:7" x14ac:dyDescent="0.2">
      <c r="A298" s="6"/>
      <c r="B298" s="7"/>
      <c r="C298" s="7"/>
      <c r="D298" s="7"/>
      <c r="E298" s="7"/>
      <c r="F298" s="7"/>
      <c r="G298" s="7"/>
    </row>
    <row r="299" spans="1:7" x14ac:dyDescent="0.2">
      <c r="A299" s="6"/>
      <c r="B299" s="7"/>
      <c r="C299" s="7"/>
      <c r="D299" s="7"/>
      <c r="E299" s="7"/>
      <c r="F299" s="7"/>
      <c r="G299" s="7"/>
    </row>
    <row r="300" spans="1:7" x14ac:dyDescent="0.2">
      <c r="A300" s="6"/>
      <c r="B300" s="7"/>
      <c r="C300" s="7"/>
      <c r="D300" s="7"/>
      <c r="E300" s="7"/>
      <c r="F300" s="7"/>
      <c r="G300" s="7"/>
    </row>
    <row r="301" spans="1:7" x14ac:dyDescent="0.2">
      <c r="A301" s="6"/>
      <c r="B301" s="7"/>
      <c r="C301" s="7"/>
      <c r="D301" s="7"/>
      <c r="E301" s="7"/>
      <c r="F301" s="7"/>
      <c r="G301" s="7"/>
    </row>
    <row r="302" spans="1:7" x14ac:dyDescent="0.2">
      <c r="A302" s="6"/>
      <c r="B302" s="7"/>
      <c r="C302" s="7"/>
      <c r="D302" s="7"/>
      <c r="E302" s="7"/>
      <c r="F302" s="7"/>
      <c r="G302" s="7"/>
    </row>
    <row r="303" spans="1:7" x14ac:dyDescent="0.2">
      <c r="A303" s="6"/>
      <c r="B303" s="7"/>
      <c r="C303" s="7"/>
      <c r="D303" s="7"/>
      <c r="E303" s="7"/>
      <c r="F303" s="7"/>
      <c r="G303" s="7"/>
    </row>
    <row r="304" spans="1:7" x14ac:dyDescent="0.2">
      <c r="A304" s="6"/>
      <c r="B304" s="7"/>
      <c r="C304" s="7"/>
      <c r="D304" s="7"/>
      <c r="E304" s="7"/>
      <c r="F304" s="7"/>
      <c r="G304" s="7"/>
    </row>
    <row r="305" spans="1:7" x14ac:dyDescent="0.2">
      <c r="A305" s="6"/>
      <c r="B305" s="7"/>
      <c r="C305" s="7"/>
      <c r="D305" s="7"/>
      <c r="E305" s="7"/>
      <c r="F305" s="7"/>
      <c r="G305" s="7"/>
    </row>
    <row r="306" spans="1:7" x14ac:dyDescent="0.2">
      <c r="A306" s="6"/>
      <c r="B306" s="7"/>
      <c r="C306" s="7"/>
      <c r="D306" s="7"/>
      <c r="E306" s="7"/>
      <c r="F306" s="7"/>
      <c r="G306" s="7"/>
    </row>
    <row r="307" spans="1:7" x14ac:dyDescent="0.2">
      <c r="A307" s="6"/>
      <c r="B307" s="7"/>
      <c r="C307" s="7"/>
      <c r="D307" s="7"/>
      <c r="E307" s="7"/>
      <c r="F307" s="7"/>
      <c r="G307" s="7"/>
    </row>
    <row r="308" spans="1:7" x14ac:dyDescent="0.2">
      <c r="A308" s="6"/>
      <c r="B308" s="7"/>
      <c r="C308" s="7"/>
      <c r="D308" s="7"/>
      <c r="E308" s="7"/>
      <c r="F308" s="7"/>
      <c r="G308" s="7"/>
    </row>
    <row r="309" spans="1:7" x14ac:dyDescent="0.2">
      <c r="A309" s="6"/>
      <c r="B309" s="7"/>
      <c r="C309" s="7"/>
      <c r="D309" s="7"/>
      <c r="E309" s="7"/>
      <c r="F309" s="7"/>
      <c r="G309" s="7"/>
    </row>
    <row r="310" spans="1:7" x14ac:dyDescent="0.2">
      <c r="A310" s="6"/>
      <c r="B310" s="7"/>
      <c r="C310" s="7"/>
      <c r="D310" s="7"/>
      <c r="E310" s="7"/>
      <c r="F310" s="7"/>
      <c r="G310" s="7"/>
    </row>
    <row r="311" spans="1:7" x14ac:dyDescent="0.2">
      <c r="A311" s="6"/>
      <c r="B311" s="7"/>
      <c r="C311" s="7"/>
      <c r="D311" s="7"/>
      <c r="E311" s="7"/>
      <c r="F311" s="7"/>
      <c r="G311" s="7"/>
    </row>
    <row r="312" spans="1:7" x14ac:dyDescent="0.2">
      <c r="A312" s="6"/>
      <c r="B312" s="7"/>
      <c r="C312" s="7"/>
      <c r="D312" s="7"/>
      <c r="E312" s="7"/>
      <c r="F312" s="7"/>
      <c r="G312" s="7"/>
    </row>
    <row r="313" spans="1:7" x14ac:dyDescent="0.2">
      <c r="A313" s="6"/>
      <c r="B313" s="7"/>
      <c r="C313" s="7"/>
      <c r="D313" s="7"/>
      <c r="E313" s="7"/>
      <c r="F313" s="7"/>
      <c r="G313" s="7"/>
    </row>
    <row r="314" spans="1:7" x14ac:dyDescent="0.2">
      <c r="A314" s="6"/>
      <c r="B314" s="7"/>
      <c r="C314" s="7"/>
      <c r="D314" s="7"/>
      <c r="E314" s="7"/>
      <c r="F314" s="7"/>
      <c r="G314" s="7"/>
    </row>
    <row r="315" spans="1:7" x14ac:dyDescent="0.2">
      <c r="A315" s="6"/>
      <c r="B315" s="7"/>
      <c r="C315" s="7"/>
      <c r="D315" s="7"/>
      <c r="E315" s="7"/>
      <c r="F315" s="7"/>
      <c r="G315" s="7"/>
    </row>
    <row r="316" spans="1:7" x14ac:dyDescent="0.2">
      <c r="A316" s="6"/>
      <c r="B316" s="7"/>
      <c r="C316" s="7"/>
      <c r="D316" s="7"/>
      <c r="E316" s="7"/>
      <c r="F316" s="7"/>
      <c r="G316" s="7"/>
    </row>
    <row r="317" spans="1:7" x14ac:dyDescent="0.2">
      <c r="A317" s="6"/>
      <c r="B317" s="7"/>
      <c r="C317" s="7"/>
      <c r="D317" s="7"/>
      <c r="E317" s="7"/>
      <c r="F317" s="7"/>
      <c r="G317" s="7"/>
    </row>
    <row r="318" spans="1:7" x14ac:dyDescent="0.2">
      <c r="A318" s="6"/>
      <c r="B318" s="7"/>
      <c r="C318" s="7"/>
      <c r="D318" s="7"/>
      <c r="E318" s="7"/>
      <c r="F318" s="7"/>
      <c r="G318" s="7"/>
    </row>
    <row r="319" spans="1:7" x14ac:dyDescent="0.2">
      <c r="A319" s="6"/>
      <c r="B319" s="7"/>
      <c r="C319" s="7"/>
      <c r="D319" s="7"/>
      <c r="E319" s="7"/>
      <c r="F319" s="7"/>
      <c r="G319" s="7"/>
    </row>
    <row r="320" spans="1:7" x14ac:dyDescent="0.2">
      <c r="A320" s="6"/>
      <c r="B320" s="7"/>
      <c r="C320" s="7"/>
      <c r="D320" s="7"/>
      <c r="E320" s="7"/>
      <c r="F320" s="7"/>
      <c r="G320" s="7"/>
    </row>
    <row r="321" spans="1:7" x14ac:dyDescent="0.2">
      <c r="A321" s="6"/>
      <c r="B321" s="7"/>
      <c r="C321" s="7"/>
      <c r="D321" s="7"/>
      <c r="E321" s="7"/>
      <c r="F321" s="7"/>
      <c r="G321" s="7"/>
    </row>
    <row r="322" spans="1:7" x14ac:dyDescent="0.2">
      <c r="A322" s="6"/>
      <c r="B322" s="7"/>
      <c r="C322" s="7"/>
      <c r="D322" s="7"/>
      <c r="E322" s="7"/>
      <c r="F322" s="7"/>
      <c r="G322" s="7"/>
    </row>
    <row r="323" spans="1:7" x14ac:dyDescent="0.2">
      <c r="A323" s="6"/>
      <c r="B323" s="7"/>
      <c r="C323" s="7"/>
      <c r="D323" s="7"/>
      <c r="E323" s="7"/>
      <c r="F323" s="7"/>
      <c r="G323" s="7"/>
    </row>
    <row r="324" spans="1:7" x14ac:dyDescent="0.2">
      <c r="A324" s="6"/>
      <c r="B324" s="7"/>
      <c r="C324" s="7"/>
      <c r="D324" s="7"/>
      <c r="E324" s="7"/>
      <c r="F324" s="7"/>
      <c r="G324" s="7"/>
    </row>
    <row r="325" spans="1:7" x14ac:dyDescent="0.2">
      <c r="A325" s="6"/>
      <c r="B325" s="7"/>
      <c r="C325" s="7"/>
      <c r="D325" s="7"/>
      <c r="E325" s="7"/>
      <c r="F325" s="7"/>
      <c r="G325" s="7"/>
    </row>
    <row r="326" spans="1:7" x14ac:dyDescent="0.2">
      <c r="A326" s="6"/>
      <c r="B326" s="7"/>
      <c r="C326" s="7"/>
      <c r="D326" s="7"/>
      <c r="E326" s="7"/>
      <c r="F326" s="7"/>
      <c r="G326" s="7"/>
    </row>
    <row r="327" spans="1:7" x14ac:dyDescent="0.2">
      <c r="A327" s="6"/>
      <c r="B327" s="7"/>
      <c r="C327" s="7"/>
      <c r="D327" s="7"/>
      <c r="E327" s="7"/>
      <c r="F327" s="7"/>
      <c r="G327" s="7"/>
    </row>
    <row r="328" spans="1:7" x14ac:dyDescent="0.2">
      <c r="A328" s="6"/>
      <c r="B328" s="7"/>
      <c r="C328" s="7"/>
      <c r="D328" s="7"/>
      <c r="E328" s="7"/>
      <c r="F328" s="7"/>
      <c r="G328" s="7"/>
    </row>
    <row r="329" spans="1:7" x14ac:dyDescent="0.2">
      <c r="A329" s="6"/>
      <c r="B329" s="7"/>
      <c r="C329" s="7"/>
      <c r="D329" s="7"/>
      <c r="E329" s="7"/>
      <c r="F329" s="7"/>
      <c r="G329" s="7"/>
    </row>
    <row r="330" spans="1:7" x14ac:dyDescent="0.2">
      <c r="A330" s="6"/>
      <c r="B330" s="7"/>
      <c r="C330" s="7"/>
      <c r="D330" s="7"/>
      <c r="E330" s="7"/>
      <c r="F330" s="7"/>
      <c r="G330" s="7"/>
    </row>
    <row r="331" spans="1:7" x14ac:dyDescent="0.2">
      <c r="A331" s="6"/>
      <c r="B331" s="7"/>
      <c r="C331" s="7"/>
      <c r="D331" s="7"/>
      <c r="E331" s="7"/>
      <c r="F331" s="7"/>
      <c r="G331" s="7"/>
    </row>
    <row r="332" spans="1:7" x14ac:dyDescent="0.2">
      <c r="A332" s="6"/>
      <c r="B332" s="7"/>
      <c r="C332" s="7"/>
      <c r="D332" s="7"/>
      <c r="E332" s="7"/>
      <c r="F332" s="7"/>
      <c r="G332" s="7"/>
    </row>
    <row r="333" spans="1:7" x14ac:dyDescent="0.2">
      <c r="A333" s="6"/>
      <c r="B333" s="7"/>
      <c r="C333" s="7"/>
      <c r="D333" s="7"/>
      <c r="E333" s="7"/>
      <c r="F333" s="7"/>
      <c r="G333" s="7"/>
    </row>
    <row r="334" spans="1:7" x14ac:dyDescent="0.2">
      <c r="A334" s="6"/>
      <c r="B334" s="7"/>
      <c r="C334" s="7"/>
      <c r="D334" s="7"/>
      <c r="E334" s="7"/>
      <c r="F334" s="7"/>
      <c r="G334" s="7"/>
    </row>
    <row r="335" spans="1:7" x14ac:dyDescent="0.2">
      <c r="A335" s="6"/>
      <c r="B335" s="7"/>
      <c r="C335" s="7"/>
      <c r="D335" s="7"/>
      <c r="E335" s="7"/>
      <c r="F335" s="7"/>
      <c r="G335" s="7"/>
    </row>
    <row r="336" spans="1:7" x14ac:dyDescent="0.2">
      <c r="A336" s="6"/>
      <c r="B336" s="7"/>
      <c r="C336" s="7"/>
      <c r="D336" s="7"/>
      <c r="E336" s="7"/>
      <c r="F336" s="7"/>
      <c r="G336" s="7"/>
    </row>
    <row r="337" spans="1:7" x14ac:dyDescent="0.2">
      <c r="A337" s="6"/>
      <c r="B337" s="7"/>
      <c r="C337" s="7"/>
      <c r="D337" s="7"/>
      <c r="E337" s="7"/>
      <c r="F337" s="7"/>
      <c r="G337" s="7"/>
    </row>
    <row r="338" spans="1:7" x14ac:dyDescent="0.2">
      <c r="A338" s="6"/>
      <c r="B338" s="7"/>
      <c r="C338" s="7"/>
      <c r="D338" s="7"/>
      <c r="E338" s="7"/>
      <c r="F338" s="7"/>
      <c r="G338" s="7"/>
    </row>
    <row r="339" spans="1:7" x14ac:dyDescent="0.2">
      <c r="A339" s="6"/>
      <c r="B339" s="7"/>
      <c r="C339" s="7"/>
      <c r="D339" s="7"/>
      <c r="E339" s="7"/>
      <c r="F339" s="7"/>
      <c r="G339" s="7"/>
    </row>
    <row r="340" spans="1:7" x14ac:dyDescent="0.2">
      <c r="A340" s="6"/>
      <c r="B340" s="7"/>
      <c r="C340" s="7"/>
      <c r="D340" s="7"/>
      <c r="E340" s="7"/>
      <c r="F340" s="7"/>
      <c r="G340" s="7"/>
    </row>
    <row r="341" spans="1:7" x14ac:dyDescent="0.2">
      <c r="A341" s="6"/>
      <c r="B341" s="7"/>
      <c r="C341" s="7"/>
      <c r="D341" s="7"/>
      <c r="E341" s="7"/>
      <c r="F341" s="7"/>
      <c r="G341" s="7"/>
    </row>
    <row r="342" spans="1:7" x14ac:dyDescent="0.2">
      <c r="A342" s="6"/>
      <c r="B342" s="7"/>
      <c r="C342" s="7"/>
      <c r="D342" s="7"/>
      <c r="E342" s="7"/>
      <c r="F342" s="7"/>
      <c r="G342" s="7"/>
    </row>
    <row r="343" spans="1:7" x14ac:dyDescent="0.2">
      <c r="A343" s="6"/>
      <c r="B343" s="7"/>
      <c r="C343" s="7"/>
      <c r="D343" s="7"/>
      <c r="E343" s="7"/>
      <c r="F343" s="7"/>
      <c r="G343" s="7"/>
    </row>
    <row r="344" spans="1:7" x14ac:dyDescent="0.2">
      <c r="A344" s="6"/>
      <c r="B344" s="7"/>
      <c r="C344" s="7"/>
      <c r="D344" s="7"/>
      <c r="E344" s="7"/>
      <c r="F344" s="7"/>
      <c r="G344" s="7"/>
    </row>
    <row r="345" spans="1:7" x14ac:dyDescent="0.2">
      <c r="A345" s="6"/>
      <c r="B345" s="7"/>
      <c r="C345" s="7"/>
      <c r="D345" s="7"/>
      <c r="E345" s="7"/>
      <c r="F345" s="7"/>
      <c r="G345" s="7"/>
    </row>
    <row r="346" spans="1:7" x14ac:dyDescent="0.2">
      <c r="A346" s="6"/>
      <c r="B346" s="7"/>
      <c r="C346" s="7"/>
      <c r="D346" s="7"/>
      <c r="E346" s="7"/>
      <c r="F346" s="7"/>
      <c r="G346" s="7"/>
    </row>
    <row r="347" spans="1:7" x14ac:dyDescent="0.2">
      <c r="A347" s="6"/>
      <c r="B347" s="7"/>
      <c r="C347" s="7"/>
      <c r="D347" s="7"/>
      <c r="E347" s="7"/>
      <c r="F347" s="7"/>
      <c r="G347" s="7"/>
    </row>
    <row r="348" spans="1:7" x14ac:dyDescent="0.2">
      <c r="A348" s="6"/>
      <c r="B348" s="7"/>
      <c r="C348" s="7"/>
      <c r="D348" s="7"/>
      <c r="E348" s="7"/>
      <c r="F348" s="7"/>
      <c r="G348" s="7"/>
    </row>
    <row r="349" spans="1:7" x14ac:dyDescent="0.2">
      <c r="A349" s="6"/>
      <c r="B349" s="7"/>
      <c r="C349" s="7"/>
      <c r="D349" s="7"/>
      <c r="E349" s="7"/>
      <c r="F349" s="7"/>
      <c r="G349" s="7"/>
    </row>
    <row r="350" spans="1:7" x14ac:dyDescent="0.2">
      <c r="A350" s="6"/>
      <c r="B350" s="7"/>
      <c r="C350" s="7"/>
      <c r="D350" s="7"/>
      <c r="E350" s="7"/>
      <c r="F350" s="7"/>
      <c r="G350" s="7"/>
    </row>
    <row r="351" spans="1:7" x14ac:dyDescent="0.2">
      <c r="A351" s="6"/>
      <c r="B351" s="7"/>
      <c r="C351" s="7"/>
      <c r="D351" s="7"/>
      <c r="E351" s="7"/>
      <c r="F351" s="7"/>
      <c r="G351" s="7"/>
    </row>
    <row r="352" spans="1:7" x14ac:dyDescent="0.2">
      <c r="A352" s="6"/>
      <c r="B352" s="7"/>
      <c r="C352" s="7"/>
      <c r="D352" s="7"/>
      <c r="E352" s="7"/>
      <c r="F352" s="7"/>
      <c r="G352" s="7"/>
    </row>
    <row r="353" spans="1:7" x14ac:dyDescent="0.2">
      <c r="A353" s="6"/>
      <c r="B353" s="7"/>
      <c r="C353" s="7"/>
      <c r="D353" s="7"/>
      <c r="E353" s="7"/>
      <c r="F353" s="7"/>
      <c r="G353" s="7"/>
    </row>
    <row r="354" spans="1:7" x14ac:dyDescent="0.2">
      <c r="A354" s="6"/>
      <c r="B354" s="7"/>
      <c r="C354" s="7"/>
      <c r="D354" s="7"/>
      <c r="E354" s="7"/>
      <c r="F354" s="7"/>
      <c r="G354" s="7"/>
    </row>
    <row r="355" spans="1:7" x14ac:dyDescent="0.2">
      <c r="A355" s="6"/>
      <c r="B355" s="7"/>
      <c r="C355" s="7"/>
      <c r="D355" s="7"/>
      <c r="E355" s="7"/>
      <c r="F355" s="7"/>
      <c r="G355" s="7"/>
    </row>
    <row r="356" spans="1:7" x14ac:dyDescent="0.2">
      <c r="A356" s="6"/>
      <c r="B356" s="7"/>
      <c r="C356" s="7"/>
      <c r="D356" s="7"/>
      <c r="E356" s="7"/>
      <c r="F356" s="7"/>
      <c r="G356" s="7"/>
    </row>
    <row r="357" spans="1:7" x14ac:dyDescent="0.2">
      <c r="A357" s="6"/>
      <c r="B357" s="7"/>
      <c r="C357" s="7"/>
      <c r="D357" s="7"/>
      <c r="E357" s="7"/>
      <c r="F357" s="7"/>
      <c r="G357" s="7"/>
    </row>
    <row r="358" spans="1:7" x14ac:dyDescent="0.2">
      <c r="A358" s="6"/>
      <c r="B358" s="7"/>
      <c r="C358" s="7"/>
      <c r="D358" s="7"/>
      <c r="E358" s="7"/>
      <c r="F358" s="7"/>
      <c r="G358" s="7"/>
    </row>
    <row r="359" spans="1:7" x14ac:dyDescent="0.2">
      <c r="A359" s="6"/>
      <c r="B359" s="7"/>
      <c r="C359" s="7"/>
      <c r="D359" s="7"/>
      <c r="E359" s="7"/>
      <c r="F359" s="7"/>
      <c r="G359" s="7"/>
    </row>
    <row r="360" spans="1:7" x14ac:dyDescent="0.2">
      <c r="A360" s="6"/>
      <c r="B360" s="7"/>
      <c r="C360" s="7"/>
      <c r="D360" s="7"/>
      <c r="E360" s="7"/>
      <c r="F360" s="7"/>
      <c r="G360" s="7"/>
    </row>
    <row r="361" spans="1:7" x14ac:dyDescent="0.2">
      <c r="A361" s="6"/>
      <c r="B361" s="7"/>
      <c r="C361" s="7"/>
      <c r="D361" s="7"/>
      <c r="E361" s="7"/>
      <c r="F361" s="7"/>
      <c r="G361" s="7"/>
    </row>
    <row r="362" spans="1:7" x14ac:dyDescent="0.2">
      <c r="A362" s="6"/>
      <c r="B362" s="7"/>
      <c r="C362" s="7"/>
      <c r="D362" s="7"/>
      <c r="E362" s="7"/>
      <c r="F362" s="7"/>
      <c r="G362" s="7"/>
    </row>
    <row r="363" spans="1:7" x14ac:dyDescent="0.2">
      <c r="A363" s="6"/>
      <c r="B363" s="7"/>
      <c r="C363" s="7"/>
      <c r="D363" s="7"/>
      <c r="E363" s="7"/>
      <c r="F363" s="7"/>
      <c r="G363" s="7"/>
    </row>
    <row r="364" spans="1:7" x14ac:dyDescent="0.2">
      <c r="A364" s="6"/>
      <c r="B364" s="7"/>
      <c r="C364" s="7"/>
      <c r="D364" s="7"/>
      <c r="E364" s="7"/>
      <c r="F364" s="7"/>
      <c r="G364" s="7"/>
    </row>
    <row r="365" spans="1:7" x14ac:dyDescent="0.2">
      <c r="A365" s="6"/>
      <c r="B365" s="7"/>
      <c r="C365" s="7"/>
      <c r="D365" s="7"/>
      <c r="E365" s="7"/>
      <c r="F365" s="7"/>
      <c r="G365" s="7"/>
    </row>
    <row r="366" spans="1:7" x14ac:dyDescent="0.2">
      <c r="A366" s="6"/>
      <c r="B366" s="7"/>
      <c r="C366" s="7"/>
      <c r="D366" s="7"/>
      <c r="E366" s="7"/>
      <c r="F366" s="7"/>
      <c r="G366" s="7"/>
    </row>
    <row r="367" spans="1:7" x14ac:dyDescent="0.2">
      <c r="A367" s="6"/>
      <c r="B367" s="7"/>
      <c r="C367" s="7"/>
      <c r="D367" s="7"/>
      <c r="E367" s="7"/>
      <c r="F367" s="7"/>
      <c r="G367" s="7"/>
    </row>
    <row r="368" spans="1:7" x14ac:dyDescent="0.2">
      <c r="A368" s="6"/>
      <c r="B368" s="7"/>
      <c r="C368" s="7"/>
      <c r="D368" s="7"/>
      <c r="E368" s="7"/>
      <c r="F368" s="7"/>
      <c r="G368" s="7"/>
    </row>
    <row r="369" spans="1:7" x14ac:dyDescent="0.2">
      <c r="A369" s="6"/>
      <c r="B369" s="7"/>
      <c r="C369" s="7"/>
      <c r="D369" s="7"/>
      <c r="E369" s="7"/>
      <c r="F369" s="7"/>
      <c r="G369" s="7"/>
    </row>
    <row r="370" spans="1:7" x14ac:dyDescent="0.2">
      <c r="A370" s="6"/>
      <c r="B370" s="7"/>
      <c r="C370" s="7"/>
      <c r="D370" s="7"/>
      <c r="E370" s="7"/>
      <c r="F370" s="7"/>
      <c r="G370" s="7"/>
    </row>
    <row r="371" spans="1:7" x14ac:dyDescent="0.2">
      <c r="A371" s="6"/>
      <c r="B371" s="7"/>
      <c r="C371" s="7"/>
      <c r="D371" s="7"/>
      <c r="E371" s="7"/>
      <c r="F371" s="7"/>
      <c r="G371" s="7"/>
    </row>
    <row r="372" spans="1:7" x14ac:dyDescent="0.2">
      <c r="A372" s="6"/>
      <c r="B372" s="7"/>
      <c r="C372" s="7"/>
      <c r="D372" s="7"/>
      <c r="E372" s="7"/>
      <c r="F372" s="7"/>
      <c r="G372" s="7"/>
    </row>
    <row r="373" spans="1:7" x14ac:dyDescent="0.2">
      <c r="A373" s="6"/>
      <c r="B373" s="7"/>
      <c r="C373" s="7"/>
      <c r="D373" s="7"/>
      <c r="E373" s="7"/>
      <c r="F373" s="7"/>
      <c r="G373" s="7"/>
    </row>
    <row r="374" spans="1:7" x14ac:dyDescent="0.2">
      <c r="A374" s="6"/>
      <c r="B374" s="7"/>
      <c r="C374" s="7"/>
      <c r="D374" s="7"/>
      <c r="E374" s="7"/>
      <c r="F374" s="7"/>
      <c r="G374" s="7"/>
    </row>
    <row r="375" spans="1:7" x14ac:dyDescent="0.2">
      <c r="A375" s="6"/>
      <c r="B375" s="7"/>
      <c r="C375" s="7"/>
      <c r="D375" s="7"/>
      <c r="E375" s="7"/>
      <c r="F375" s="7"/>
      <c r="G375" s="7"/>
    </row>
    <row r="376" spans="1:7" x14ac:dyDescent="0.2">
      <c r="A376" s="6"/>
      <c r="B376" s="7"/>
      <c r="C376" s="7"/>
      <c r="D376" s="7"/>
      <c r="E376" s="7"/>
      <c r="F376" s="7"/>
      <c r="G376" s="7"/>
    </row>
    <row r="377" spans="1:7" x14ac:dyDescent="0.2">
      <c r="A377" s="6"/>
      <c r="B377" s="7"/>
      <c r="C377" s="7"/>
      <c r="D377" s="7"/>
      <c r="E377" s="7"/>
      <c r="F377" s="7"/>
      <c r="G377" s="7"/>
    </row>
    <row r="378" spans="1:7" x14ac:dyDescent="0.2">
      <c r="A378" s="6"/>
      <c r="B378" s="7"/>
      <c r="C378" s="7"/>
      <c r="D378" s="7"/>
      <c r="E378" s="7"/>
      <c r="F378" s="7"/>
      <c r="G378" s="7"/>
    </row>
    <row r="379" spans="1:7" x14ac:dyDescent="0.2">
      <c r="A379" s="6"/>
      <c r="B379" s="7"/>
      <c r="C379" s="7"/>
      <c r="D379" s="7"/>
      <c r="E379" s="7"/>
      <c r="F379" s="7"/>
      <c r="G379" s="7"/>
    </row>
    <row r="380" spans="1:7" x14ac:dyDescent="0.2">
      <c r="A380" s="6"/>
      <c r="B380" s="7"/>
      <c r="C380" s="7"/>
      <c r="D380" s="7"/>
      <c r="E380" s="7"/>
      <c r="F380" s="7"/>
      <c r="G380" s="7"/>
    </row>
    <row r="381" spans="1:7" x14ac:dyDescent="0.2">
      <c r="A381" s="6"/>
      <c r="B381" s="7"/>
      <c r="C381" s="7"/>
      <c r="D381" s="7"/>
      <c r="E381" s="7"/>
      <c r="F381" s="7"/>
      <c r="G381" s="7"/>
    </row>
    <row r="382" spans="1:7" x14ac:dyDescent="0.2">
      <c r="A382" s="6"/>
      <c r="B382" s="7"/>
      <c r="C382" s="7"/>
      <c r="D382" s="7"/>
      <c r="E382" s="7"/>
      <c r="F382" s="7"/>
      <c r="G382" s="7"/>
    </row>
    <row r="383" spans="1:7" x14ac:dyDescent="0.2">
      <c r="A383" s="6"/>
      <c r="B383" s="7"/>
      <c r="C383" s="7"/>
      <c r="D383" s="7"/>
      <c r="E383" s="7"/>
      <c r="F383" s="7"/>
      <c r="G383" s="7"/>
    </row>
    <row r="384" spans="1:7" x14ac:dyDescent="0.2">
      <c r="A384" s="6"/>
      <c r="B384" s="7"/>
      <c r="C384" s="7"/>
      <c r="D384" s="7"/>
      <c r="E384" s="7"/>
      <c r="F384" s="7"/>
      <c r="G384" s="7"/>
    </row>
    <row r="385" spans="1:7" x14ac:dyDescent="0.2">
      <c r="A385" s="6"/>
      <c r="B385" s="7"/>
      <c r="C385" s="7"/>
      <c r="D385" s="7"/>
      <c r="E385" s="7"/>
      <c r="F385" s="7"/>
      <c r="G385" s="7"/>
    </row>
    <row r="386" spans="1:7" x14ac:dyDescent="0.2">
      <c r="A386" s="6"/>
      <c r="B386" s="7"/>
      <c r="C386" s="7"/>
      <c r="D386" s="7"/>
      <c r="E386" s="7"/>
      <c r="F386" s="7"/>
      <c r="G386" s="7"/>
    </row>
    <row r="387" spans="1:7" x14ac:dyDescent="0.2">
      <c r="A387" s="6"/>
      <c r="B387" s="7"/>
      <c r="C387" s="7"/>
      <c r="D387" s="7"/>
      <c r="E387" s="7"/>
      <c r="F387" s="7"/>
      <c r="G387" s="7"/>
    </row>
    <row r="388" spans="1:7" x14ac:dyDescent="0.2">
      <c r="A388" s="6"/>
      <c r="B388" s="7"/>
      <c r="C388" s="7"/>
      <c r="D388" s="7"/>
      <c r="E388" s="7"/>
      <c r="F388" s="7"/>
      <c r="G388" s="7"/>
    </row>
    <row r="389" spans="1:7" x14ac:dyDescent="0.2">
      <c r="A389" s="6"/>
      <c r="B389" s="7"/>
      <c r="C389" s="7"/>
      <c r="D389" s="7"/>
      <c r="E389" s="7"/>
      <c r="F389" s="7"/>
      <c r="G389" s="7"/>
    </row>
    <row r="390" spans="1:7" x14ac:dyDescent="0.2">
      <c r="A390" s="6"/>
      <c r="B390" s="7"/>
      <c r="C390" s="7"/>
      <c r="D390" s="7"/>
      <c r="E390" s="7"/>
      <c r="F390" s="7"/>
      <c r="G390" s="7"/>
    </row>
    <row r="391" spans="1:7" x14ac:dyDescent="0.2">
      <c r="A391" s="6"/>
      <c r="B391" s="7"/>
      <c r="C391" s="7"/>
      <c r="D391" s="7"/>
      <c r="E391" s="7"/>
      <c r="F391" s="7"/>
      <c r="G391" s="7"/>
    </row>
    <row r="392" spans="1:7" x14ac:dyDescent="0.2">
      <c r="A392" s="6"/>
      <c r="B392" s="7"/>
      <c r="C392" s="7"/>
      <c r="D392" s="7"/>
      <c r="E392" s="7"/>
      <c r="F392" s="7"/>
      <c r="G392" s="7"/>
    </row>
    <row r="393" spans="1:7" x14ac:dyDescent="0.2">
      <c r="A393" s="6"/>
      <c r="B393" s="7"/>
      <c r="C393" s="7"/>
      <c r="D393" s="7"/>
      <c r="E393" s="7"/>
      <c r="F393" s="7"/>
      <c r="G393" s="7"/>
    </row>
    <row r="394" spans="1:7" x14ac:dyDescent="0.2">
      <c r="A394" s="6"/>
      <c r="B394" s="7"/>
      <c r="C394" s="7"/>
      <c r="D394" s="7"/>
      <c r="E394" s="7"/>
      <c r="F394" s="7"/>
      <c r="G394" s="7"/>
    </row>
    <row r="395" spans="1:7" x14ac:dyDescent="0.2">
      <c r="A395" s="6"/>
      <c r="B395" s="7"/>
      <c r="C395" s="7"/>
      <c r="D395" s="7"/>
      <c r="E395" s="7"/>
      <c r="F395" s="7"/>
      <c r="G395" s="7"/>
    </row>
    <row r="396" spans="1:7" x14ac:dyDescent="0.2">
      <c r="A396" s="6"/>
      <c r="B396" s="7"/>
      <c r="C396" s="7"/>
      <c r="D396" s="7"/>
      <c r="E396" s="7"/>
      <c r="F396" s="7"/>
      <c r="G396" s="7"/>
    </row>
    <row r="397" spans="1:7" x14ac:dyDescent="0.2">
      <c r="A397" s="6"/>
      <c r="B397" s="7"/>
      <c r="C397" s="7"/>
      <c r="D397" s="7"/>
      <c r="E397" s="7"/>
      <c r="F397" s="7"/>
      <c r="G397" s="7"/>
    </row>
    <row r="398" spans="1:7" x14ac:dyDescent="0.2">
      <c r="A398" s="6"/>
      <c r="B398" s="7"/>
      <c r="C398" s="7"/>
      <c r="D398" s="7"/>
      <c r="E398" s="7"/>
      <c r="F398" s="7"/>
      <c r="G398" s="7"/>
    </row>
    <row r="399" spans="1:7" x14ac:dyDescent="0.2">
      <c r="A399" s="6"/>
      <c r="B399" s="7"/>
      <c r="C399" s="7"/>
      <c r="D399" s="7"/>
      <c r="E399" s="7"/>
      <c r="F399" s="7"/>
      <c r="G399" s="7"/>
    </row>
    <row r="400" spans="1:7" x14ac:dyDescent="0.2">
      <c r="A400" s="6"/>
      <c r="B400" s="7"/>
      <c r="C400" s="7"/>
      <c r="D400" s="7"/>
      <c r="E400" s="7"/>
      <c r="F400" s="7"/>
      <c r="G400" s="7"/>
    </row>
    <row r="401" spans="1:7" x14ac:dyDescent="0.2">
      <c r="A401" s="6"/>
      <c r="B401" s="7"/>
      <c r="C401" s="7"/>
      <c r="D401" s="7"/>
      <c r="E401" s="7"/>
      <c r="F401" s="7"/>
      <c r="G401" s="7"/>
    </row>
    <row r="402" spans="1:7" x14ac:dyDescent="0.2">
      <c r="A402" s="6"/>
      <c r="B402" s="7"/>
      <c r="C402" s="7"/>
      <c r="D402" s="7"/>
      <c r="E402" s="7"/>
      <c r="F402" s="7"/>
      <c r="G402" s="7"/>
    </row>
    <row r="403" spans="1:7" x14ac:dyDescent="0.2">
      <c r="A403" s="6"/>
      <c r="B403" s="7"/>
      <c r="C403" s="7"/>
      <c r="D403" s="7"/>
      <c r="E403" s="7"/>
      <c r="F403" s="7"/>
      <c r="G403" s="7"/>
    </row>
    <row r="404" spans="1:7" x14ac:dyDescent="0.2">
      <c r="A404" s="6"/>
      <c r="B404" s="7"/>
      <c r="C404" s="7"/>
      <c r="D404" s="7"/>
      <c r="E404" s="7"/>
      <c r="F404" s="7"/>
      <c r="G404" s="7"/>
    </row>
    <row r="405" spans="1:7" x14ac:dyDescent="0.2">
      <c r="A405" s="6"/>
      <c r="B405" s="7"/>
      <c r="C405" s="7"/>
      <c r="D405" s="7"/>
      <c r="E405" s="7"/>
      <c r="F405" s="7"/>
      <c r="G405" s="7"/>
    </row>
    <row r="406" spans="1:7" x14ac:dyDescent="0.2">
      <c r="A406" s="6"/>
      <c r="B406" s="7"/>
      <c r="C406" s="7"/>
      <c r="D406" s="7"/>
      <c r="E406" s="7"/>
      <c r="F406" s="7"/>
      <c r="G406" s="7"/>
    </row>
    <row r="407" spans="1:7" x14ac:dyDescent="0.2">
      <c r="A407" s="6"/>
      <c r="B407" s="7"/>
      <c r="C407" s="7"/>
      <c r="D407" s="7"/>
      <c r="E407" s="7"/>
      <c r="F407" s="7"/>
      <c r="G407" s="7"/>
    </row>
    <row r="408" spans="1:7" x14ac:dyDescent="0.2">
      <c r="A408" s="6"/>
      <c r="B408" s="7"/>
      <c r="C408" s="7"/>
      <c r="D408" s="7"/>
      <c r="E408" s="7"/>
      <c r="F408" s="7"/>
      <c r="G408" s="7"/>
    </row>
    <row r="409" spans="1:7" x14ac:dyDescent="0.2">
      <c r="A409" s="6"/>
      <c r="B409" s="7"/>
      <c r="C409" s="7"/>
      <c r="D409" s="7"/>
      <c r="E409" s="7"/>
      <c r="F409" s="7"/>
      <c r="G409" s="7"/>
    </row>
    <row r="410" spans="1:7" x14ac:dyDescent="0.2">
      <c r="A410" s="6"/>
      <c r="B410" s="7"/>
      <c r="C410" s="7"/>
      <c r="D410" s="7"/>
      <c r="E410" s="7"/>
      <c r="F410" s="7"/>
      <c r="G410" s="7"/>
    </row>
    <row r="411" spans="1:7" x14ac:dyDescent="0.2">
      <c r="A411" s="6"/>
      <c r="B411" s="7"/>
      <c r="C411" s="7"/>
      <c r="D411" s="7"/>
      <c r="E411" s="7"/>
      <c r="F411" s="7"/>
      <c r="G411" s="7"/>
    </row>
    <row r="412" spans="1:7" x14ac:dyDescent="0.2">
      <c r="A412" s="6"/>
      <c r="B412" s="7"/>
      <c r="C412" s="7"/>
      <c r="D412" s="7"/>
      <c r="E412" s="7"/>
      <c r="F412" s="7"/>
      <c r="G412" s="7"/>
    </row>
    <row r="413" spans="1:7" x14ac:dyDescent="0.2">
      <c r="A413" s="6"/>
      <c r="B413" s="7"/>
      <c r="C413" s="7"/>
      <c r="D413" s="7"/>
      <c r="E413" s="7"/>
      <c r="F413" s="7"/>
      <c r="G413" s="7"/>
    </row>
    <row r="414" spans="1:7" x14ac:dyDescent="0.2">
      <c r="A414" s="6"/>
      <c r="B414" s="7"/>
      <c r="C414" s="7"/>
      <c r="D414" s="7"/>
      <c r="E414" s="7"/>
      <c r="F414" s="7"/>
      <c r="G414" s="7"/>
    </row>
    <row r="415" spans="1:7" x14ac:dyDescent="0.2">
      <c r="A415" s="6"/>
      <c r="B415" s="7"/>
      <c r="C415" s="7"/>
      <c r="D415" s="7"/>
      <c r="E415" s="7"/>
      <c r="F415" s="7"/>
      <c r="G415" s="7"/>
    </row>
    <row r="416" spans="1:7" x14ac:dyDescent="0.2">
      <c r="A416" s="6"/>
      <c r="B416" s="7"/>
      <c r="C416" s="7"/>
      <c r="D416" s="7"/>
      <c r="E416" s="7"/>
      <c r="F416" s="7"/>
      <c r="G416" s="7"/>
    </row>
    <row r="417" spans="1:7" x14ac:dyDescent="0.2">
      <c r="A417" s="6"/>
      <c r="B417" s="7"/>
      <c r="C417" s="7"/>
      <c r="D417" s="7"/>
      <c r="E417" s="7"/>
      <c r="F417" s="7"/>
      <c r="G417" s="7"/>
    </row>
    <row r="418" spans="1:7" x14ac:dyDescent="0.2">
      <c r="A418" s="6"/>
      <c r="B418" s="7"/>
      <c r="C418" s="7"/>
      <c r="D418" s="7"/>
      <c r="E418" s="7"/>
      <c r="F418" s="7"/>
      <c r="G418" s="7"/>
    </row>
    <row r="419" spans="1:7" x14ac:dyDescent="0.2">
      <c r="A419" s="6"/>
      <c r="B419" s="7"/>
      <c r="C419" s="7"/>
      <c r="D419" s="7"/>
      <c r="E419" s="7"/>
      <c r="F419" s="7"/>
      <c r="G419" s="7"/>
    </row>
    <row r="420" spans="1:7" x14ac:dyDescent="0.2">
      <c r="A420" s="6"/>
      <c r="B420" s="7"/>
      <c r="C420" s="7"/>
      <c r="D420" s="7"/>
      <c r="E420" s="7"/>
      <c r="F420" s="7"/>
      <c r="G420" s="7"/>
    </row>
    <row r="421" spans="1:7" x14ac:dyDescent="0.2">
      <c r="A421" s="6"/>
      <c r="B421" s="7"/>
      <c r="C421" s="7"/>
      <c r="D421" s="7"/>
      <c r="E421" s="7"/>
      <c r="F421" s="7"/>
      <c r="G421" s="7"/>
    </row>
    <row r="422" spans="1:7" x14ac:dyDescent="0.2">
      <c r="A422" s="6"/>
      <c r="B422" s="7"/>
      <c r="C422" s="7"/>
      <c r="D422" s="7"/>
      <c r="E422" s="7"/>
      <c r="F422" s="7"/>
      <c r="G422" s="7"/>
    </row>
    <row r="423" spans="1:7" x14ac:dyDescent="0.2">
      <c r="A423" s="6"/>
      <c r="B423" s="7"/>
      <c r="C423" s="7"/>
      <c r="D423" s="7"/>
      <c r="E423" s="7"/>
      <c r="F423" s="7"/>
      <c r="G423" s="7"/>
    </row>
    <row r="424" spans="1:7" x14ac:dyDescent="0.2">
      <c r="A424" s="6"/>
      <c r="B424" s="7"/>
      <c r="C424" s="7"/>
      <c r="D424" s="7"/>
      <c r="E424" s="7"/>
      <c r="F424" s="7"/>
      <c r="G424" s="7"/>
    </row>
    <row r="425" spans="1:7" x14ac:dyDescent="0.2">
      <c r="A425" s="6"/>
      <c r="B425" s="7"/>
      <c r="C425" s="7"/>
      <c r="D425" s="7"/>
      <c r="E425" s="7"/>
      <c r="F425" s="7"/>
      <c r="G425" s="7"/>
    </row>
    <row r="426" spans="1:7" x14ac:dyDescent="0.2">
      <c r="A426" s="6"/>
      <c r="B426" s="7"/>
      <c r="C426" s="7"/>
      <c r="D426" s="7"/>
      <c r="E426" s="7"/>
      <c r="F426" s="7"/>
      <c r="G426" s="7"/>
    </row>
    <row r="427" spans="1:7" x14ac:dyDescent="0.2">
      <c r="A427" s="6"/>
      <c r="B427" s="7"/>
      <c r="C427" s="7"/>
      <c r="D427" s="7"/>
      <c r="E427" s="7"/>
      <c r="F427" s="7"/>
      <c r="G427" s="7"/>
    </row>
    <row r="428" spans="1:7" x14ac:dyDescent="0.2">
      <c r="A428" s="6"/>
      <c r="B428" s="7"/>
      <c r="C428" s="7"/>
      <c r="D428" s="7"/>
      <c r="E428" s="7"/>
      <c r="F428" s="7"/>
      <c r="G428" s="7"/>
    </row>
    <row r="429" spans="1:7" x14ac:dyDescent="0.2">
      <c r="A429" s="6"/>
      <c r="B429" s="7"/>
      <c r="C429" s="7"/>
      <c r="D429" s="7"/>
      <c r="E429" s="7"/>
      <c r="F429" s="7"/>
      <c r="G429" s="7"/>
    </row>
    <row r="430" spans="1:7" x14ac:dyDescent="0.2">
      <c r="A430" s="6"/>
      <c r="B430" s="7"/>
      <c r="C430" s="7"/>
      <c r="D430" s="7"/>
      <c r="E430" s="7"/>
      <c r="F430" s="7"/>
      <c r="G430" s="7"/>
    </row>
    <row r="431" spans="1:7" x14ac:dyDescent="0.2">
      <c r="A431" s="6"/>
      <c r="B431" s="7"/>
      <c r="C431" s="7"/>
      <c r="D431" s="7"/>
      <c r="E431" s="7"/>
      <c r="F431" s="7"/>
      <c r="G431" s="7"/>
    </row>
    <row r="432" spans="1:7" x14ac:dyDescent="0.2">
      <c r="A432" s="6"/>
      <c r="B432" s="7"/>
      <c r="C432" s="7"/>
      <c r="D432" s="7"/>
      <c r="E432" s="7"/>
      <c r="F432" s="7"/>
      <c r="G432" s="7"/>
    </row>
    <row r="433" spans="1:7" x14ac:dyDescent="0.2">
      <c r="A433" s="6"/>
      <c r="B433" s="7"/>
      <c r="C433" s="7"/>
      <c r="D433" s="7"/>
      <c r="E433" s="7"/>
      <c r="F433" s="7"/>
      <c r="G433" s="7"/>
    </row>
    <row r="434" spans="1:7" x14ac:dyDescent="0.2">
      <c r="A434" s="6"/>
      <c r="B434" s="7"/>
      <c r="C434" s="7"/>
      <c r="D434" s="7"/>
      <c r="E434" s="7"/>
      <c r="F434" s="7"/>
      <c r="G434" s="7"/>
    </row>
    <row r="435" spans="1:7" x14ac:dyDescent="0.2">
      <c r="A435" s="6"/>
      <c r="B435" s="7"/>
      <c r="C435" s="7"/>
      <c r="D435" s="7"/>
      <c r="E435" s="7"/>
      <c r="F435" s="7"/>
      <c r="G435" s="7"/>
    </row>
    <row r="436" spans="1:7" x14ac:dyDescent="0.2">
      <c r="A436" s="6"/>
      <c r="B436" s="7"/>
      <c r="C436" s="7"/>
      <c r="D436" s="7"/>
      <c r="E436" s="7"/>
      <c r="F436" s="7"/>
      <c r="G436" s="7"/>
    </row>
    <row r="437" spans="1:7" x14ac:dyDescent="0.2">
      <c r="A437" s="6"/>
      <c r="B437" s="7"/>
      <c r="C437" s="7"/>
      <c r="D437" s="7"/>
      <c r="E437" s="7"/>
      <c r="F437" s="7"/>
      <c r="G437" s="7"/>
    </row>
    <row r="438" spans="1:7" x14ac:dyDescent="0.2">
      <c r="A438" s="6"/>
      <c r="B438" s="7"/>
      <c r="C438" s="7"/>
      <c r="D438" s="7"/>
      <c r="E438" s="7"/>
      <c r="F438" s="7"/>
      <c r="G438" s="7"/>
    </row>
    <row r="439" spans="1:7" x14ac:dyDescent="0.2">
      <c r="A439" s="6"/>
      <c r="B439" s="7"/>
      <c r="C439" s="7"/>
      <c r="D439" s="7"/>
      <c r="E439" s="7"/>
      <c r="F439" s="7"/>
      <c r="G439" s="7"/>
    </row>
    <row r="440" spans="1:7" x14ac:dyDescent="0.2">
      <c r="A440" s="6"/>
      <c r="B440" s="7"/>
      <c r="C440" s="7"/>
      <c r="D440" s="7"/>
      <c r="E440" s="7"/>
      <c r="F440" s="7"/>
      <c r="G440" s="7"/>
    </row>
    <row r="441" spans="1:7" x14ac:dyDescent="0.2">
      <c r="A441" s="6"/>
      <c r="B441" s="7"/>
      <c r="C441" s="7"/>
      <c r="D441" s="7"/>
      <c r="E441" s="7"/>
      <c r="F441" s="7"/>
      <c r="G441" s="7"/>
    </row>
    <row r="442" spans="1:7" x14ac:dyDescent="0.2">
      <c r="A442" s="6"/>
      <c r="B442" s="7"/>
      <c r="C442" s="7"/>
      <c r="D442" s="7"/>
      <c r="E442" s="7"/>
      <c r="F442" s="7"/>
      <c r="G442" s="7"/>
    </row>
    <row r="443" spans="1:7" x14ac:dyDescent="0.2">
      <c r="A443" s="6"/>
      <c r="B443" s="7"/>
      <c r="C443" s="7"/>
      <c r="D443" s="7"/>
      <c r="E443" s="7"/>
      <c r="F443" s="7"/>
      <c r="G443" s="7"/>
    </row>
    <row r="444" spans="1:7" x14ac:dyDescent="0.2">
      <c r="A444" s="6"/>
      <c r="B444" s="7"/>
      <c r="C444" s="7"/>
      <c r="D444" s="7"/>
      <c r="E444" s="7"/>
      <c r="F444" s="7"/>
      <c r="G444" s="7"/>
    </row>
    <row r="445" spans="1:7" x14ac:dyDescent="0.2">
      <c r="A445" s="6"/>
      <c r="B445" s="7"/>
      <c r="C445" s="7"/>
      <c r="D445" s="7"/>
      <c r="E445" s="7"/>
      <c r="F445" s="7"/>
      <c r="G445" s="7"/>
    </row>
    <row r="446" spans="1:7" x14ac:dyDescent="0.2">
      <c r="A446" s="6"/>
      <c r="B446" s="7"/>
      <c r="C446" s="7"/>
      <c r="D446" s="7"/>
      <c r="E446" s="7"/>
      <c r="F446" s="7"/>
      <c r="G446" s="7"/>
    </row>
    <row r="447" spans="1:7" x14ac:dyDescent="0.2">
      <c r="A447" s="6"/>
      <c r="B447" s="7"/>
      <c r="C447" s="7"/>
      <c r="D447" s="7"/>
      <c r="E447" s="7"/>
      <c r="F447" s="7"/>
      <c r="G447" s="7"/>
    </row>
    <row r="448" spans="1:7" x14ac:dyDescent="0.2">
      <c r="A448" s="6"/>
      <c r="B448" s="7"/>
      <c r="C448" s="7"/>
      <c r="D448" s="7"/>
      <c r="E448" s="7"/>
      <c r="F448" s="7"/>
      <c r="G448" s="7"/>
    </row>
    <row r="449" spans="1:7" x14ac:dyDescent="0.2">
      <c r="A449" s="6"/>
      <c r="B449" s="7"/>
      <c r="C449" s="7"/>
      <c r="D449" s="7"/>
      <c r="E449" s="7"/>
      <c r="F449" s="7"/>
      <c r="G449" s="7"/>
    </row>
    <row r="450" spans="1:7" x14ac:dyDescent="0.2">
      <c r="A450" s="6"/>
      <c r="B450" s="7"/>
      <c r="C450" s="7"/>
      <c r="D450" s="7"/>
      <c r="E450" s="7"/>
      <c r="F450" s="7"/>
      <c r="G450" s="7"/>
    </row>
    <row r="451" spans="1:7" x14ac:dyDescent="0.2">
      <c r="A451" s="6"/>
      <c r="B451" s="7"/>
      <c r="C451" s="7"/>
      <c r="D451" s="7"/>
      <c r="E451" s="7"/>
      <c r="F451" s="7"/>
      <c r="G451" s="7"/>
    </row>
    <row r="452" spans="1:7" x14ac:dyDescent="0.2">
      <c r="A452" s="6"/>
      <c r="B452" s="7"/>
      <c r="C452" s="7"/>
      <c r="D452" s="7"/>
      <c r="E452" s="7"/>
      <c r="F452" s="7"/>
      <c r="G452" s="7"/>
    </row>
    <row r="453" spans="1:7" x14ac:dyDescent="0.2">
      <c r="A453" s="6"/>
      <c r="B453" s="7"/>
      <c r="C453" s="7"/>
      <c r="D453" s="7"/>
      <c r="E453" s="7"/>
      <c r="F453" s="7"/>
      <c r="G453" s="7"/>
    </row>
    <row r="454" spans="1:7" x14ac:dyDescent="0.2">
      <c r="A454" s="6"/>
      <c r="B454" s="7"/>
      <c r="C454" s="7"/>
      <c r="D454" s="7"/>
      <c r="E454" s="7"/>
      <c r="F454" s="7"/>
      <c r="G454" s="7"/>
    </row>
    <row r="455" spans="1:7" x14ac:dyDescent="0.2">
      <c r="A455" s="6"/>
      <c r="B455" s="7"/>
      <c r="C455" s="7"/>
      <c r="D455" s="7"/>
      <c r="E455" s="7"/>
      <c r="F455" s="7"/>
      <c r="G455" s="7"/>
    </row>
    <row r="456" spans="1:7" x14ac:dyDescent="0.2">
      <c r="A456" s="6"/>
      <c r="B456" s="7"/>
      <c r="C456" s="7"/>
      <c r="D456" s="7"/>
      <c r="E456" s="7"/>
      <c r="F456" s="7"/>
      <c r="G456" s="7"/>
    </row>
    <row r="457" spans="1:7" x14ac:dyDescent="0.2">
      <c r="A457" s="6"/>
      <c r="B457" s="7"/>
      <c r="C457" s="7"/>
      <c r="D457" s="7"/>
      <c r="E457" s="7"/>
      <c r="F457" s="7"/>
      <c r="G457" s="7"/>
    </row>
    <row r="458" spans="1:7" x14ac:dyDescent="0.2">
      <c r="A458" s="6"/>
      <c r="B458" s="7"/>
      <c r="C458" s="7"/>
      <c r="D458" s="7"/>
      <c r="E458" s="7"/>
      <c r="F458" s="7"/>
      <c r="G458" s="7"/>
    </row>
    <row r="459" spans="1:7" x14ac:dyDescent="0.2">
      <c r="A459" s="6"/>
      <c r="B459" s="7"/>
      <c r="C459" s="7"/>
      <c r="D459" s="7"/>
      <c r="E459" s="7"/>
      <c r="F459" s="7"/>
      <c r="G459" s="7"/>
    </row>
    <row r="460" spans="1:7" x14ac:dyDescent="0.2">
      <c r="A460" s="6"/>
      <c r="B460" s="7"/>
      <c r="C460" s="7"/>
      <c r="D460" s="7"/>
      <c r="E460" s="7"/>
      <c r="F460" s="7"/>
      <c r="G460" s="7"/>
    </row>
    <row r="461" spans="1:7" x14ac:dyDescent="0.2">
      <c r="A461" s="6"/>
      <c r="B461" s="7"/>
      <c r="C461" s="7"/>
      <c r="D461" s="7"/>
      <c r="E461" s="7"/>
      <c r="F461" s="7"/>
      <c r="G461" s="7"/>
    </row>
    <row r="462" spans="1:7" x14ac:dyDescent="0.2">
      <c r="A462" s="6"/>
      <c r="B462" s="7"/>
      <c r="C462" s="7"/>
      <c r="D462" s="7"/>
      <c r="E462" s="7"/>
      <c r="F462" s="7"/>
      <c r="G462" s="7"/>
    </row>
    <row r="463" spans="1:7" x14ac:dyDescent="0.2">
      <c r="A463" s="6"/>
      <c r="B463" s="7"/>
      <c r="C463" s="7"/>
      <c r="D463" s="7"/>
      <c r="E463" s="7"/>
      <c r="F463" s="7"/>
      <c r="G463" s="7"/>
    </row>
    <row r="464" spans="1:7" x14ac:dyDescent="0.2">
      <c r="A464" s="6"/>
      <c r="B464" s="7"/>
      <c r="C464" s="7"/>
      <c r="D464" s="7"/>
      <c r="E464" s="7"/>
      <c r="F464" s="7"/>
      <c r="G464" s="7"/>
    </row>
    <row r="465" spans="1:7" x14ac:dyDescent="0.2">
      <c r="A465" s="6"/>
      <c r="B465" s="7"/>
      <c r="C465" s="7"/>
      <c r="D465" s="7"/>
      <c r="E465" s="7"/>
      <c r="F465" s="7"/>
      <c r="G465" s="7"/>
    </row>
    <row r="466" spans="1:7" x14ac:dyDescent="0.2">
      <c r="A466" s="6"/>
      <c r="B466" s="7"/>
      <c r="C466" s="7"/>
      <c r="D466" s="7"/>
      <c r="E466" s="7"/>
      <c r="F466" s="7"/>
      <c r="G466" s="7"/>
    </row>
    <row r="467" spans="1:7" x14ac:dyDescent="0.2">
      <c r="A467" s="6"/>
      <c r="B467" s="7"/>
      <c r="C467" s="7"/>
      <c r="D467" s="7"/>
      <c r="E467" s="7"/>
      <c r="F467" s="7"/>
      <c r="G467" s="7"/>
    </row>
    <row r="468" spans="1:7" x14ac:dyDescent="0.2">
      <c r="A468" s="6"/>
      <c r="B468" s="7"/>
      <c r="C468" s="7"/>
      <c r="D468" s="7"/>
      <c r="E468" s="7"/>
      <c r="F468" s="7"/>
      <c r="G468" s="7"/>
    </row>
    <row r="469" spans="1:7" x14ac:dyDescent="0.2">
      <c r="A469" s="6"/>
      <c r="B469" s="7"/>
      <c r="C469" s="7"/>
      <c r="D469" s="7"/>
      <c r="E469" s="7"/>
      <c r="F469" s="7"/>
      <c r="G469" s="7"/>
    </row>
    <row r="470" spans="1:7" x14ac:dyDescent="0.2">
      <c r="A470" s="6"/>
      <c r="B470" s="7"/>
      <c r="C470" s="7"/>
      <c r="D470" s="7"/>
      <c r="E470" s="7"/>
      <c r="F470" s="7"/>
      <c r="G470" s="7"/>
    </row>
    <row r="471" spans="1:7" x14ac:dyDescent="0.2">
      <c r="A471" s="6"/>
      <c r="B471" s="7"/>
      <c r="C471" s="7"/>
      <c r="D471" s="7"/>
      <c r="E471" s="7"/>
      <c r="F471" s="7"/>
      <c r="G471" s="7"/>
    </row>
    <row r="472" spans="1:7" x14ac:dyDescent="0.2">
      <c r="A472" s="6"/>
      <c r="B472" s="7"/>
      <c r="C472" s="7"/>
      <c r="D472" s="7"/>
      <c r="E472" s="7"/>
      <c r="F472" s="7"/>
      <c r="G472" s="7"/>
    </row>
    <row r="473" spans="1:7" x14ac:dyDescent="0.2">
      <c r="A473" s="6"/>
      <c r="B473" s="7"/>
      <c r="C473" s="7"/>
      <c r="D473" s="7"/>
      <c r="E473" s="7"/>
      <c r="F473" s="7"/>
      <c r="G473" s="7"/>
    </row>
    <row r="474" spans="1:7" x14ac:dyDescent="0.2">
      <c r="A474" s="6"/>
      <c r="B474" s="7"/>
      <c r="C474" s="7"/>
      <c r="D474" s="7"/>
      <c r="E474" s="7"/>
      <c r="F474" s="7"/>
      <c r="G474" s="7"/>
    </row>
    <row r="475" spans="1:7" x14ac:dyDescent="0.2">
      <c r="A475" s="6"/>
      <c r="B475" s="7"/>
      <c r="C475" s="7"/>
      <c r="D475" s="7"/>
      <c r="E475" s="7"/>
      <c r="F475" s="7"/>
      <c r="G475" s="7"/>
    </row>
    <row r="476" spans="1:7" x14ac:dyDescent="0.2">
      <c r="A476" s="6"/>
      <c r="B476" s="7"/>
      <c r="C476" s="7"/>
      <c r="D476" s="7"/>
      <c r="E476" s="7"/>
      <c r="F476" s="7"/>
      <c r="G476" s="7"/>
    </row>
    <row r="477" spans="1:7" x14ac:dyDescent="0.2">
      <c r="A477" s="6"/>
      <c r="B477" s="7"/>
      <c r="C477" s="7"/>
      <c r="D477" s="7"/>
      <c r="E477" s="7"/>
      <c r="F477" s="7"/>
      <c r="G477" s="7"/>
    </row>
    <row r="478" spans="1:7" x14ac:dyDescent="0.2">
      <c r="A478" s="6"/>
      <c r="B478" s="7"/>
      <c r="C478" s="7"/>
      <c r="D478" s="7"/>
      <c r="E478" s="7"/>
      <c r="F478" s="7"/>
      <c r="G478" s="7"/>
    </row>
    <row r="479" spans="1:7" x14ac:dyDescent="0.2">
      <c r="A479" s="6"/>
      <c r="B479" s="7"/>
      <c r="C479" s="7"/>
      <c r="D479" s="7"/>
      <c r="E479" s="7"/>
      <c r="F479" s="7"/>
      <c r="G479" s="7"/>
    </row>
    <row r="480" spans="1:7" x14ac:dyDescent="0.2">
      <c r="A480" s="6"/>
      <c r="B480" s="7"/>
      <c r="C480" s="7"/>
      <c r="D480" s="7"/>
      <c r="E480" s="7"/>
      <c r="F480" s="7"/>
      <c r="G480" s="7"/>
    </row>
    <row r="481" spans="1:7" x14ac:dyDescent="0.2">
      <c r="A481" s="6"/>
      <c r="B481" s="7"/>
      <c r="C481" s="7"/>
      <c r="D481" s="7"/>
      <c r="E481" s="7"/>
      <c r="F481" s="7"/>
      <c r="G481" s="7"/>
    </row>
    <row r="482" spans="1:7" x14ac:dyDescent="0.2">
      <c r="A482" s="6"/>
      <c r="B482" s="7"/>
      <c r="C482" s="7"/>
      <c r="D482" s="7"/>
      <c r="E482" s="7"/>
      <c r="F482" s="7"/>
      <c r="G482" s="7"/>
    </row>
    <row r="483" spans="1:7" x14ac:dyDescent="0.2">
      <c r="A483" s="6"/>
      <c r="B483" s="7"/>
      <c r="C483" s="7"/>
      <c r="D483" s="7"/>
      <c r="E483" s="7"/>
      <c r="F483" s="7"/>
      <c r="G483" s="7"/>
    </row>
    <row r="484" spans="1:7" x14ac:dyDescent="0.2">
      <c r="A484" s="6"/>
      <c r="B484" s="7"/>
      <c r="C484" s="7"/>
      <c r="D484" s="7"/>
      <c r="E484" s="7"/>
      <c r="F484" s="7"/>
      <c r="G484" s="7"/>
    </row>
    <row r="485" spans="1:7" x14ac:dyDescent="0.2">
      <c r="A485" s="6"/>
      <c r="B485" s="7"/>
      <c r="C485" s="7"/>
      <c r="D485" s="7"/>
      <c r="E485" s="7"/>
      <c r="F485" s="7"/>
      <c r="G485" s="7"/>
    </row>
    <row r="486" spans="1:7" x14ac:dyDescent="0.2">
      <c r="A486" s="6"/>
      <c r="B486" s="7"/>
      <c r="C486" s="7"/>
      <c r="D486" s="7"/>
      <c r="E486" s="7"/>
      <c r="F486" s="7"/>
      <c r="G486" s="7"/>
    </row>
    <row r="487" spans="1:7" x14ac:dyDescent="0.2">
      <c r="A487" s="6"/>
      <c r="B487" s="7"/>
      <c r="C487" s="7"/>
      <c r="D487" s="7"/>
      <c r="E487" s="7"/>
      <c r="F487" s="7"/>
      <c r="G487" s="7"/>
    </row>
    <row r="488" spans="1:7" x14ac:dyDescent="0.2">
      <c r="A488" s="6"/>
      <c r="B488" s="7"/>
      <c r="C488" s="7"/>
      <c r="D488" s="7"/>
      <c r="E488" s="7"/>
      <c r="F488" s="7"/>
      <c r="G488" s="7"/>
    </row>
    <row r="489" spans="1:7" x14ac:dyDescent="0.2">
      <c r="A489" s="6"/>
      <c r="B489" s="7"/>
      <c r="C489" s="7"/>
      <c r="D489" s="7"/>
      <c r="E489" s="7"/>
      <c r="F489" s="7"/>
      <c r="G489" s="7"/>
    </row>
    <row r="490" spans="1:7" x14ac:dyDescent="0.2">
      <c r="A490" s="6"/>
      <c r="B490" s="7"/>
      <c r="C490" s="7"/>
      <c r="D490" s="7"/>
      <c r="E490" s="7"/>
      <c r="F490" s="7"/>
      <c r="G490" s="7"/>
    </row>
    <row r="491" spans="1:7" x14ac:dyDescent="0.2">
      <c r="A491" s="6"/>
      <c r="B491" s="7"/>
      <c r="C491" s="7"/>
      <c r="D491" s="7"/>
      <c r="E491" s="7"/>
      <c r="F491" s="7"/>
      <c r="G491" s="7"/>
    </row>
    <row r="492" spans="1:7" x14ac:dyDescent="0.2">
      <c r="A492" s="6"/>
      <c r="B492" s="7"/>
      <c r="C492" s="7"/>
      <c r="D492" s="7"/>
      <c r="E492" s="7"/>
      <c r="F492" s="7"/>
      <c r="G492" s="7"/>
    </row>
    <row r="493" spans="1:7" x14ac:dyDescent="0.2">
      <c r="A493" s="6"/>
      <c r="B493" s="7"/>
      <c r="C493" s="7"/>
      <c r="D493" s="7"/>
      <c r="E493" s="7"/>
      <c r="F493" s="7"/>
      <c r="G493" s="7"/>
    </row>
    <row r="494" spans="1:7" x14ac:dyDescent="0.2">
      <c r="A494" s="6"/>
      <c r="B494" s="7"/>
      <c r="C494" s="7"/>
      <c r="D494" s="7"/>
      <c r="E494" s="7"/>
      <c r="F494" s="7"/>
      <c r="G494" s="7"/>
    </row>
    <row r="495" spans="1:7" x14ac:dyDescent="0.2">
      <c r="A495" s="6"/>
      <c r="B495" s="7"/>
      <c r="C495" s="7"/>
      <c r="D495" s="7"/>
      <c r="E495" s="7"/>
      <c r="F495" s="7"/>
      <c r="G495" s="7"/>
    </row>
    <row r="496" spans="1:7" x14ac:dyDescent="0.2">
      <c r="A496" s="6"/>
      <c r="B496" s="7"/>
      <c r="C496" s="7"/>
      <c r="D496" s="7"/>
      <c r="E496" s="7"/>
      <c r="F496" s="7"/>
      <c r="G496" s="7"/>
    </row>
    <row r="497" spans="1:7" x14ac:dyDescent="0.2">
      <c r="A497" s="6"/>
      <c r="B497" s="7"/>
      <c r="C497" s="7"/>
      <c r="D497" s="7"/>
      <c r="E497" s="7"/>
      <c r="F497" s="7"/>
      <c r="G497" s="7"/>
    </row>
    <row r="498" spans="1:7" x14ac:dyDescent="0.2">
      <c r="A498" s="6"/>
      <c r="B498" s="7"/>
      <c r="C498" s="7"/>
      <c r="D498" s="7"/>
      <c r="E498" s="7"/>
      <c r="F498" s="7"/>
      <c r="G498" s="7"/>
    </row>
    <row r="499" spans="1:7" x14ac:dyDescent="0.2">
      <c r="A499" s="6"/>
      <c r="B499" s="7"/>
      <c r="C499" s="7"/>
      <c r="D499" s="7"/>
      <c r="E499" s="7"/>
      <c r="F499" s="7"/>
      <c r="G499" s="7"/>
    </row>
    <row r="500" spans="1:7" x14ac:dyDescent="0.2">
      <c r="A500" s="6"/>
      <c r="B500" s="7"/>
      <c r="C500" s="7"/>
      <c r="D500" s="7"/>
      <c r="E500" s="7"/>
      <c r="F500" s="7"/>
      <c r="G500" s="7"/>
    </row>
    <row r="501" spans="1:7" x14ac:dyDescent="0.2">
      <c r="A501" s="6"/>
      <c r="B501" s="7"/>
      <c r="C501" s="7"/>
      <c r="D501" s="7"/>
      <c r="E501" s="7"/>
      <c r="F501" s="7"/>
      <c r="G501" s="7"/>
    </row>
    <row r="502" spans="1:7" x14ac:dyDescent="0.2">
      <c r="A502" s="6"/>
      <c r="B502" s="7"/>
      <c r="C502" s="7"/>
      <c r="D502" s="7"/>
      <c r="E502" s="7"/>
      <c r="F502" s="7"/>
      <c r="G502" s="7"/>
    </row>
    <row r="503" spans="1:7" x14ac:dyDescent="0.2">
      <c r="A503" s="6"/>
      <c r="B503" s="7"/>
      <c r="C503" s="7"/>
      <c r="D503" s="7"/>
      <c r="E503" s="7"/>
      <c r="F503" s="7"/>
      <c r="G503" s="7"/>
    </row>
    <row r="504" spans="1:7" x14ac:dyDescent="0.2">
      <c r="A504" s="6"/>
      <c r="B504" s="7"/>
      <c r="C504" s="7"/>
      <c r="D504" s="7"/>
      <c r="E504" s="7"/>
      <c r="F504" s="7"/>
      <c r="G504" s="7"/>
    </row>
    <row r="505" spans="1:7" x14ac:dyDescent="0.2">
      <c r="A505" s="6"/>
      <c r="B505" s="7"/>
      <c r="C505" s="7"/>
      <c r="D505" s="7"/>
      <c r="E505" s="7"/>
      <c r="F505" s="7"/>
      <c r="G505" s="7"/>
    </row>
    <row r="506" spans="1:7" x14ac:dyDescent="0.2">
      <c r="A506" s="6"/>
      <c r="B506" s="7"/>
      <c r="C506" s="7"/>
      <c r="D506" s="7"/>
      <c r="E506" s="7"/>
      <c r="F506" s="7"/>
      <c r="G506" s="7"/>
    </row>
    <row r="507" spans="1:7" x14ac:dyDescent="0.2">
      <c r="A507" s="6"/>
      <c r="B507" s="7"/>
      <c r="C507" s="7"/>
      <c r="D507" s="7"/>
      <c r="E507" s="7"/>
      <c r="F507" s="7"/>
      <c r="G507" s="7"/>
    </row>
    <row r="508" spans="1:7" x14ac:dyDescent="0.2">
      <c r="A508" s="6"/>
      <c r="B508" s="7"/>
      <c r="C508" s="7"/>
      <c r="D508" s="7"/>
      <c r="E508" s="7"/>
      <c r="F508" s="7"/>
      <c r="G508" s="7"/>
    </row>
    <row r="509" spans="1:7" x14ac:dyDescent="0.2">
      <c r="A509" s="6"/>
      <c r="B509" s="7"/>
      <c r="C509" s="7"/>
      <c r="D509" s="7"/>
      <c r="E509" s="7"/>
      <c r="F509" s="7"/>
      <c r="G509" s="7"/>
    </row>
    <row r="510" spans="1:7" x14ac:dyDescent="0.2">
      <c r="A510" s="6"/>
      <c r="B510" s="7"/>
      <c r="C510" s="7"/>
      <c r="D510" s="7"/>
      <c r="E510" s="7"/>
      <c r="F510" s="7"/>
      <c r="G510" s="7"/>
    </row>
    <row r="511" spans="1:7" x14ac:dyDescent="0.2">
      <c r="A511" s="6"/>
      <c r="B511" s="7"/>
      <c r="C511" s="7"/>
      <c r="D511" s="7"/>
      <c r="E511" s="7"/>
      <c r="F511" s="7"/>
      <c r="G511" s="7"/>
    </row>
    <row r="512" spans="1:7" x14ac:dyDescent="0.2">
      <c r="A512" s="6"/>
      <c r="B512" s="7"/>
      <c r="C512" s="7"/>
      <c r="D512" s="7"/>
      <c r="E512" s="7"/>
      <c r="F512" s="7"/>
      <c r="G512" s="7"/>
    </row>
    <row r="513" spans="1:7" x14ac:dyDescent="0.2">
      <c r="A513" s="6"/>
      <c r="B513" s="7"/>
      <c r="C513" s="7"/>
      <c r="D513" s="7"/>
      <c r="E513" s="7"/>
      <c r="F513" s="7"/>
      <c r="G513" s="7"/>
    </row>
    <row r="514" spans="1:7" x14ac:dyDescent="0.2">
      <c r="A514" s="6"/>
      <c r="B514" s="7"/>
      <c r="C514" s="7"/>
      <c r="D514" s="7"/>
      <c r="E514" s="7"/>
      <c r="F514" s="7"/>
      <c r="G514" s="7"/>
    </row>
    <row r="515" spans="1:7" x14ac:dyDescent="0.2">
      <c r="A515" s="6"/>
      <c r="B515" s="7"/>
      <c r="C515" s="7"/>
      <c r="D515" s="7"/>
      <c r="E515" s="7"/>
      <c r="F515" s="7"/>
      <c r="G515" s="7"/>
    </row>
    <row r="516" spans="1:7" x14ac:dyDescent="0.2">
      <c r="A516" s="6"/>
      <c r="B516" s="7"/>
      <c r="C516" s="7"/>
      <c r="D516" s="7"/>
      <c r="E516" s="7"/>
      <c r="F516" s="7"/>
      <c r="G516" s="7"/>
    </row>
    <row r="517" spans="1:7" x14ac:dyDescent="0.2">
      <c r="A517" s="6"/>
      <c r="B517" s="7"/>
      <c r="C517" s="7"/>
      <c r="D517" s="7"/>
      <c r="E517" s="7"/>
      <c r="F517" s="7"/>
      <c r="G517" s="7"/>
    </row>
    <row r="518" spans="1:7" x14ac:dyDescent="0.2">
      <c r="A518" s="6"/>
      <c r="B518" s="7"/>
      <c r="C518" s="7"/>
      <c r="D518" s="7"/>
      <c r="E518" s="7"/>
      <c r="F518" s="7"/>
      <c r="G518" s="7"/>
    </row>
    <row r="519" spans="1:7" x14ac:dyDescent="0.2">
      <c r="A519" s="6"/>
      <c r="B519" s="7"/>
      <c r="C519" s="7"/>
      <c r="D519" s="7"/>
      <c r="E519" s="7"/>
      <c r="F519" s="7"/>
      <c r="G519" s="7"/>
    </row>
    <row r="520" spans="1:7" x14ac:dyDescent="0.2">
      <c r="A520" s="6"/>
      <c r="B520" s="7"/>
      <c r="C520" s="7"/>
      <c r="D520" s="7"/>
      <c r="E520" s="7"/>
      <c r="F520" s="7"/>
      <c r="G520" s="7"/>
    </row>
    <row r="521" spans="1:7" x14ac:dyDescent="0.2">
      <c r="A521" s="6"/>
      <c r="B521" s="7"/>
      <c r="C521" s="7"/>
      <c r="D521" s="7"/>
      <c r="E521" s="7"/>
      <c r="F521" s="7"/>
      <c r="G521" s="7"/>
    </row>
    <row r="522" spans="1:7" x14ac:dyDescent="0.2">
      <c r="A522" s="6"/>
      <c r="B522" s="7"/>
      <c r="C522" s="7"/>
      <c r="D522" s="7"/>
      <c r="E522" s="7"/>
      <c r="F522" s="7"/>
      <c r="G522" s="7"/>
    </row>
    <row r="523" spans="1:7" x14ac:dyDescent="0.2">
      <c r="A523" s="6"/>
      <c r="B523" s="7"/>
      <c r="C523" s="7"/>
      <c r="D523" s="7"/>
      <c r="E523" s="7"/>
      <c r="F523" s="7"/>
      <c r="G523" s="7"/>
    </row>
    <row r="524" spans="1:7" x14ac:dyDescent="0.2">
      <c r="A524" s="6"/>
      <c r="B524" s="7"/>
      <c r="C524" s="7"/>
      <c r="D524" s="7"/>
      <c r="E524" s="7"/>
      <c r="F524" s="7"/>
      <c r="G524" s="7"/>
    </row>
    <row r="525" spans="1:7" x14ac:dyDescent="0.2">
      <c r="A525" s="6"/>
      <c r="B525" s="7"/>
      <c r="C525" s="7"/>
      <c r="D525" s="7"/>
      <c r="E525" s="7"/>
      <c r="F525" s="7"/>
      <c r="G525" s="7"/>
    </row>
    <row r="526" spans="1:7" x14ac:dyDescent="0.2">
      <c r="A526" s="6"/>
      <c r="B526" s="7"/>
      <c r="C526" s="7"/>
      <c r="D526" s="7"/>
      <c r="E526" s="7"/>
      <c r="F526" s="7"/>
      <c r="G526" s="7"/>
    </row>
    <row r="527" spans="1:7" x14ac:dyDescent="0.2">
      <c r="A527" s="6"/>
      <c r="B527" s="7"/>
      <c r="C527" s="7"/>
      <c r="D527" s="7"/>
      <c r="E527" s="7"/>
      <c r="F527" s="7"/>
      <c r="G527" s="7"/>
    </row>
    <row r="528" spans="1:7" x14ac:dyDescent="0.2">
      <c r="A528" s="6"/>
      <c r="B528" s="7"/>
      <c r="C528" s="7"/>
      <c r="D528" s="7"/>
      <c r="E528" s="7"/>
      <c r="F528" s="7"/>
      <c r="G528" s="7"/>
    </row>
    <row r="529" spans="1:7" x14ac:dyDescent="0.2">
      <c r="A529" s="6"/>
      <c r="B529" s="7"/>
      <c r="C529" s="7"/>
      <c r="D529" s="7"/>
      <c r="E529" s="7"/>
      <c r="F529" s="7"/>
      <c r="G529" s="7"/>
    </row>
    <row r="530" spans="1:7" x14ac:dyDescent="0.2">
      <c r="A530" s="6"/>
      <c r="B530" s="7"/>
      <c r="C530" s="7"/>
      <c r="D530" s="7"/>
      <c r="E530" s="7"/>
      <c r="F530" s="7"/>
      <c r="G530" s="7"/>
    </row>
    <row r="531" spans="1:7" x14ac:dyDescent="0.2">
      <c r="A531" s="6"/>
      <c r="B531" s="7"/>
      <c r="C531" s="7"/>
      <c r="D531" s="7"/>
      <c r="E531" s="7"/>
      <c r="F531" s="7"/>
      <c r="G531" s="7"/>
    </row>
    <row r="532" spans="1:7" x14ac:dyDescent="0.2">
      <c r="A532" s="6"/>
      <c r="B532" s="7"/>
      <c r="C532" s="7"/>
      <c r="D532" s="7"/>
      <c r="E532" s="7"/>
      <c r="F532" s="7"/>
      <c r="G532" s="7"/>
    </row>
    <row r="533" spans="1:7" x14ac:dyDescent="0.2">
      <c r="A533" s="6"/>
      <c r="B533" s="7"/>
      <c r="C533" s="7"/>
      <c r="D533" s="7"/>
      <c r="E533" s="7"/>
      <c r="F533" s="7"/>
      <c r="G533" s="7"/>
    </row>
    <row r="534" spans="1:7" x14ac:dyDescent="0.2">
      <c r="A534" s="6"/>
      <c r="B534" s="7"/>
      <c r="C534" s="7"/>
      <c r="D534" s="7"/>
      <c r="E534" s="7"/>
      <c r="F534" s="7"/>
      <c r="G534" s="7"/>
    </row>
    <row r="535" spans="1:7" x14ac:dyDescent="0.2">
      <c r="A535" s="6"/>
      <c r="B535" s="7"/>
      <c r="C535" s="7"/>
      <c r="D535" s="7"/>
      <c r="E535" s="7"/>
      <c r="F535" s="7"/>
      <c r="G535" s="7"/>
    </row>
    <row r="536" spans="1:7" x14ac:dyDescent="0.2">
      <c r="A536" s="6"/>
      <c r="B536" s="7"/>
      <c r="C536" s="7"/>
      <c r="D536" s="7"/>
      <c r="E536" s="7"/>
      <c r="F536" s="7"/>
      <c r="G536" s="7"/>
    </row>
    <row r="537" spans="1:7" x14ac:dyDescent="0.2">
      <c r="A537" s="6"/>
      <c r="B537" s="7"/>
      <c r="C537" s="7"/>
      <c r="D537" s="7"/>
      <c r="E537" s="7"/>
      <c r="F537" s="7"/>
      <c r="G537" s="7"/>
    </row>
    <row r="538" spans="1:7" x14ac:dyDescent="0.2">
      <c r="A538" s="6"/>
      <c r="B538" s="7"/>
      <c r="C538" s="7"/>
      <c r="D538" s="7"/>
      <c r="E538" s="7"/>
      <c r="F538" s="7"/>
      <c r="G538" s="7"/>
    </row>
    <row r="539" spans="1:7" x14ac:dyDescent="0.2">
      <c r="A539" s="6"/>
      <c r="B539" s="7"/>
      <c r="C539" s="7"/>
      <c r="D539" s="7"/>
      <c r="E539" s="7"/>
      <c r="F539" s="7"/>
      <c r="G539" s="7"/>
    </row>
    <row r="540" spans="1:7" x14ac:dyDescent="0.2">
      <c r="A540" s="6"/>
      <c r="B540" s="7"/>
      <c r="C540" s="7"/>
      <c r="D540" s="7"/>
      <c r="E540" s="7"/>
      <c r="F540" s="7"/>
      <c r="G540" s="7"/>
    </row>
    <row r="541" spans="1:7" x14ac:dyDescent="0.2">
      <c r="A541" s="6"/>
      <c r="B541" s="7"/>
      <c r="C541" s="7"/>
      <c r="D541" s="7"/>
      <c r="E541" s="7"/>
      <c r="F541" s="7"/>
      <c r="G541" s="7"/>
    </row>
    <row r="542" spans="1:7" x14ac:dyDescent="0.2">
      <c r="A542" s="6"/>
      <c r="B542" s="7"/>
      <c r="C542" s="7"/>
      <c r="D542" s="7"/>
      <c r="E542" s="7"/>
      <c r="F542" s="7"/>
      <c r="G542" s="7"/>
    </row>
    <row r="543" spans="1:7" x14ac:dyDescent="0.2">
      <c r="A543" s="6"/>
      <c r="B543" s="7"/>
      <c r="C543" s="7"/>
      <c r="D543" s="7"/>
      <c r="E543" s="7"/>
      <c r="F543" s="7"/>
      <c r="G543" s="7"/>
    </row>
    <row r="544" spans="1:7" x14ac:dyDescent="0.2">
      <c r="A544" s="6"/>
      <c r="B544" s="7"/>
      <c r="C544" s="7"/>
      <c r="D544" s="7"/>
      <c r="E544" s="7"/>
      <c r="F544" s="7"/>
      <c r="G544" s="7"/>
    </row>
    <row r="545" spans="1:7" x14ac:dyDescent="0.2">
      <c r="A545" s="6"/>
      <c r="B545" s="7"/>
      <c r="C545" s="7"/>
      <c r="D545" s="7"/>
      <c r="E545" s="7"/>
      <c r="F545" s="7"/>
      <c r="G545" s="7"/>
    </row>
    <row r="546" spans="1:7" x14ac:dyDescent="0.2">
      <c r="A546" s="6"/>
      <c r="B546" s="7"/>
      <c r="C546" s="7"/>
      <c r="D546" s="7"/>
      <c r="E546" s="7"/>
      <c r="F546" s="7"/>
      <c r="G546" s="7"/>
    </row>
    <row r="547" spans="1:7" x14ac:dyDescent="0.2">
      <c r="A547" s="6"/>
      <c r="B547" s="7"/>
      <c r="C547" s="7"/>
      <c r="D547" s="7"/>
      <c r="E547" s="7"/>
      <c r="F547" s="7"/>
      <c r="G547" s="7"/>
    </row>
    <row r="548" spans="1:7" x14ac:dyDescent="0.2">
      <c r="A548" s="6"/>
      <c r="B548" s="7"/>
      <c r="C548" s="7"/>
      <c r="D548" s="7"/>
      <c r="E548" s="7"/>
      <c r="F548" s="7"/>
      <c r="G548" s="7"/>
    </row>
    <row r="549" spans="1:7" x14ac:dyDescent="0.2">
      <c r="A549" s="6"/>
      <c r="B549" s="7"/>
      <c r="C549" s="7"/>
      <c r="D549" s="7"/>
      <c r="E549" s="7"/>
      <c r="F549" s="7"/>
      <c r="G549" s="7"/>
    </row>
    <row r="550" spans="1:7" x14ac:dyDescent="0.2">
      <c r="A550" s="6"/>
      <c r="B550" s="7"/>
      <c r="C550" s="7"/>
      <c r="D550" s="7"/>
      <c r="E550" s="7"/>
      <c r="F550" s="7"/>
      <c r="G550" s="7"/>
    </row>
    <row r="551" spans="1:7" x14ac:dyDescent="0.2">
      <c r="A551" s="6"/>
      <c r="B551" s="7"/>
      <c r="C551" s="7"/>
      <c r="D551" s="7"/>
      <c r="E551" s="7"/>
      <c r="F551" s="7"/>
      <c r="G551" s="7"/>
    </row>
    <row r="552" spans="1:7" x14ac:dyDescent="0.2">
      <c r="A552" s="6"/>
      <c r="B552" s="7"/>
      <c r="C552" s="7"/>
      <c r="D552" s="7"/>
      <c r="E552" s="7"/>
      <c r="F552" s="7"/>
      <c r="G552" s="7"/>
    </row>
    <row r="553" spans="1:7" x14ac:dyDescent="0.2">
      <c r="A553" s="6"/>
      <c r="B553" s="7"/>
      <c r="C553" s="7"/>
      <c r="D553" s="7"/>
      <c r="E553" s="7"/>
      <c r="F553" s="7"/>
      <c r="G553" s="7"/>
    </row>
    <row r="554" spans="1:7" x14ac:dyDescent="0.2">
      <c r="A554" s="6"/>
      <c r="B554" s="7"/>
      <c r="C554" s="7"/>
      <c r="D554" s="7"/>
      <c r="E554" s="7"/>
      <c r="F554" s="7"/>
      <c r="G554" s="7"/>
    </row>
    <row r="555" spans="1:7" x14ac:dyDescent="0.2">
      <c r="A555" s="6"/>
      <c r="B555" s="7"/>
      <c r="C555" s="7"/>
      <c r="D555" s="7"/>
      <c r="E555" s="7"/>
      <c r="F555" s="7"/>
      <c r="G555" s="7"/>
    </row>
    <row r="556" spans="1:7" x14ac:dyDescent="0.2">
      <c r="A556" s="6"/>
      <c r="B556" s="7"/>
      <c r="C556" s="7"/>
      <c r="D556" s="7"/>
      <c r="E556" s="7"/>
      <c r="F556" s="7"/>
      <c r="G556" s="7"/>
    </row>
    <row r="557" spans="1:7" x14ac:dyDescent="0.2">
      <c r="A557" s="6"/>
      <c r="B557" s="7"/>
      <c r="C557" s="7"/>
      <c r="D557" s="7"/>
      <c r="E557" s="7"/>
      <c r="F557" s="7"/>
      <c r="G557" s="7"/>
    </row>
    <row r="558" spans="1:7" x14ac:dyDescent="0.2">
      <c r="A558" s="6"/>
      <c r="B558" s="7"/>
      <c r="C558" s="7"/>
      <c r="D558" s="7"/>
      <c r="E558" s="7"/>
      <c r="F558" s="7"/>
      <c r="G558" s="7"/>
    </row>
    <row r="559" spans="1:7" x14ac:dyDescent="0.2">
      <c r="A559" s="6"/>
      <c r="B559" s="7"/>
      <c r="C559" s="7"/>
      <c r="D559" s="7"/>
      <c r="E559" s="7"/>
      <c r="F559" s="7"/>
      <c r="G559" s="7"/>
    </row>
    <row r="560" spans="1:7" x14ac:dyDescent="0.2">
      <c r="A560" s="6"/>
      <c r="B560" s="7"/>
      <c r="C560" s="7"/>
      <c r="D560" s="7"/>
      <c r="E560" s="7"/>
      <c r="F560" s="7"/>
      <c r="G560" s="7"/>
    </row>
    <row r="561" spans="1:7" x14ac:dyDescent="0.2">
      <c r="A561" s="6"/>
      <c r="B561" s="7"/>
      <c r="C561" s="7"/>
      <c r="D561" s="7"/>
      <c r="E561" s="7"/>
      <c r="F561" s="7"/>
      <c r="G561" s="7"/>
    </row>
    <row r="562" spans="1:7" x14ac:dyDescent="0.2">
      <c r="A562" s="6"/>
      <c r="B562" s="7"/>
      <c r="C562" s="7"/>
      <c r="D562" s="7"/>
      <c r="E562" s="7"/>
      <c r="F562" s="7"/>
      <c r="G562" s="7"/>
    </row>
    <row r="563" spans="1:7" x14ac:dyDescent="0.2">
      <c r="A563" s="6"/>
      <c r="B563" s="7"/>
      <c r="C563" s="7"/>
      <c r="D563" s="7"/>
      <c r="E563" s="7"/>
      <c r="F563" s="7"/>
      <c r="G563" s="7"/>
    </row>
    <row r="564" spans="1:7" x14ac:dyDescent="0.2">
      <c r="A564" s="6"/>
      <c r="B564" s="7"/>
      <c r="C564" s="7"/>
      <c r="D564" s="7"/>
      <c r="E564" s="7"/>
      <c r="F564" s="7"/>
      <c r="G564" s="7"/>
    </row>
    <row r="565" spans="1:7" x14ac:dyDescent="0.2">
      <c r="A565" s="6"/>
      <c r="B565" s="7"/>
      <c r="C565" s="7"/>
      <c r="D565" s="7"/>
      <c r="E565" s="7"/>
      <c r="F565" s="7"/>
      <c r="G565" s="7"/>
    </row>
    <row r="566" spans="1:7" x14ac:dyDescent="0.2">
      <c r="A566" s="6"/>
      <c r="B566" s="7"/>
      <c r="C566" s="7"/>
      <c r="D566" s="7"/>
      <c r="E566" s="7"/>
      <c r="F566" s="7"/>
      <c r="G566" s="7"/>
    </row>
    <row r="567" spans="1:7" x14ac:dyDescent="0.2">
      <c r="A567" s="6"/>
      <c r="B567" s="7"/>
      <c r="C567" s="7"/>
      <c r="D567" s="7"/>
      <c r="E567" s="7"/>
      <c r="F567" s="7"/>
      <c r="G567" s="7"/>
    </row>
    <row r="568" spans="1:7" x14ac:dyDescent="0.2">
      <c r="A568" s="6"/>
      <c r="B568" s="7"/>
      <c r="C568" s="7"/>
      <c r="D568" s="7"/>
      <c r="E568" s="7"/>
      <c r="F568" s="7"/>
      <c r="G568" s="7"/>
    </row>
    <row r="569" spans="1:7" x14ac:dyDescent="0.2">
      <c r="A569" s="6"/>
      <c r="B569" s="7"/>
      <c r="C569" s="7"/>
      <c r="D569" s="7"/>
      <c r="E569" s="7"/>
      <c r="F569" s="7"/>
      <c r="G569" s="7"/>
    </row>
    <row r="570" spans="1:7" x14ac:dyDescent="0.2">
      <c r="A570" s="6"/>
      <c r="B570" s="7"/>
      <c r="C570" s="7"/>
      <c r="D570" s="7"/>
      <c r="E570" s="7"/>
      <c r="F570" s="7"/>
      <c r="G570" s="7"/>
    </row>
    <row r="571" spans="1:7" x14ac:dyDescent="0.2">
      <c r="A571" s="6"/>
      <c r="B571" s="7"/>
      <c r="C571" s="7"/>
      <c r="D571" s="7"/>
      <c r="E571" s="7"/>
      <c r="F571" s="7"/>
      <c r="G571" s="7"/>
    </row>
    <row r="572" spans="1:7" x14ac:dyDescent="0.2">
      <c r="A572" s="6"/>
      <c r="B572" s="7"/>
      <c r="C572" s="7"/>
      <c r="D572" s="7"/>
      <c r="E572" s="7"/>
      <c r="F572" s="7"/>
      <c r="G572" s="7"/>
    </row>
    <row r="573" spans="1:7" x14ac:dyDescent="0.2">
      <c r="A573" s="6"/>
      <c r="B573" s="7"/>
      <c r="C573" s="7"/>
      <c r="D573" s="7"/>
      <c r="E573" s="7"/>
      <c r="F573" s="7"/>
      <c r="G573" s="7"/>
    </row>
    <row r="574" spans="1:7" x14ac:dyDescent="0.2">
      <c r="A574" s="6"/>
      <c r="B574" s="7"/>
      <c r="C574" s="7"/>
      <c r="D574" s="7"/>
      <c r="E574" s="7"/>
      <c r="F574" s="7"/>
      <c r="G574" s="7"/>
    </row>
    <row r="575" spans="1:7" x14ac:dyDescent="0.2">
      <c r="A575" s="6"/>
      <c r="B575" s="7"/>
      <c r="C575" s="7"/>
      <c r="D575" s="7"/>
      <c r="E575" s="7"/>
      <c r="F575" s="7"/>
      <c r="G575" s="7"/>
    </row>
    <row r="576" spans="1:7" x14ac:dyDescent="0.2">
      <c r="A576" s="6"/>
      <c r="B576" s="7"/>
      <c r="C576" s="7"/>
      <c r="D576" s="7"/>
      <c r="E576" s="7"/>
      <c r="F576" s="7"/>
      <c r="G576" s="7"/>
    </row>
    <row r="577" spans="1:7" x14ac:dyDescent="0.2">
      <c r="A577" s="6"/>
      <c r="B577" s="7"/>
      <c r="C577" s="7"/>
      <c r="D577" s="7"/>
      <c r="E577" s="7"/>
      <c r="F577" s="7"/>
      <c r="G577" s="7"/>
    </row>
    <row r="578" spans="1:7" x14ac:dyDescent="0.2">
      <c r="A578" s="6"/>
      <c r="B578" s="7"/>
      <c r="C578" s="7"/>
      <c r="D578" s="7"/>
      <c r="E578" s="7"/>
      <c r="F578" s="7"/>
      <c r="G578" s="7"/>
    </row>
    <row r="579" spans="1:7" x14ac:dyDescent="0.2">
      <c r="A579" s="6"/>
      <c r="B579" s="7"/>
      <c r="C579" s="7"/>
      <c r="D579" s="7"/>
      <c r="E579" s="7"/>
      <c r="F579" s="7"/>
      <c r="G579" s="7"/>
    </row>
    <row r="580" spans="1:7" x14ac:dyDescent="0.2">
      <c r="A580" s="6"/>
      <c r="B580" s="7"/>
      <c r="C580" s="7"/>
      <c r="D580" s="7"/>
      <c r="E580" s="7"/>
      <c r="F580" s="7"/>
      <c r="G580" s="7"/>
    </row>
    <row r="581" spans="1:7" x14ac:dyDescent="0.2">
      <c r="A581" s="6"/>
      <c r="B581" s="7"/>
      <c r="C581" s="7"/>
      <c r="D581" s="7"/>
      <c r="E581" s="7"/>
      <c r="F581" s="7"/>
      <c r="G581" s="7"/>
    </row>
    <row r="582" spans="1:7" x14ac:dyDescent="0.2">
      <c r="A582" s="6"/>
      <c r="B582" s="7"/>
      <c r="C582" s="7"/>
      <c r="D582" s="7"/>
      <c r="E582" s="7"/>
      <c r="F582" s="7"/>
      <c r="G582" s="7"/>
    </row>
    <row r="583" spans="1:7" x14ac:dyDescent="0.2">
      <c r="A583" s="6"/>
      <c r="B583" s="7"/>
      <c r="C583" s="7"/>
      <c r="D583" s="7"/>
      <c r="E583" s="7"/>
      <c r="F583" s="7"/>
      <c r="G583" s="7"/>
    </row>
    <row r="584" spans="1:7" x14ac:dyDescent="0.2">
      <c r="A584" s="6"/>
      <c r="B584" s="7"/>
      <c r="C584" s="7"/>
      <c r="D584" s="7"/>
      <c r="E584" s="7"/>
      <c r="F584" s="7"/>
      <c r="G584" s="7"/>
    </row>
    <row r="585" spans="1:7" x14ac:dyDescent="0.2">
      <c r="A585" s="6"/>
      <c r="B585" s="7"/>
      <c r="C585" s="7"/>
      <c r="D585" s="7"/>
      <c r="E585" s="7"/>
      <c r="F585" s="7"/>
      <c r="G585" s="7"/>
    </row>
    <row r="586" spans="1:7" x14ac:dyDescent="0.2">
      <c r="A586" s="6"/>
      <c r="B586" s="7"/>
      <c r="C586" s="7"/>
      <c r="D586" s="7"/>
      <c r="E586" s="7"/>
      <c r="F586" s="7"/>
      <c r="G586" s="7"/>
    </row>
    <row r="587" spans="1:7" x14ac:dyDescent="0.2">
      <c r="A587" s="6"/>
      <c r="B587" s="7"/>
      <c r="C587" s="7"/>
      <c r="D587" s="7"/>
      <c r="E587" s="7"/>
      <c r="F587" s="7"/>
      <c r="G587" s="7"/>
    </row>
    <row r="588" spans="1:7" x14ac:dyDescent="0.2">
      <c r="A588" s="6"/>
      <c r="B588" s="7"/>
      <c r="C588" s="7"/>
      <c r="D588" s="7"/>
      <c r="E588" s="7"/>
      <c r="F588" s="7"/>
      <c r="G588" s="7"/>
    </row>
    <row r="589" spans="1:7" x14ac:dyDescent="0.2">
      <c r="A589" s="6"/>
      <c r="B589" s="7"/>
      <c r="C589" s="7"/>
      <c r="D589" s="7"/>
      <c r="E589" s="7"/>
      <c r="F589" s="7"/>
      <c r="G589" s="7"/>
    </row>
    <row r="590" spans="1:7" x14ac:dyDescent="0.2">
      <c r="A590" s="6"/>
      <c r="B590" s="7"/>
      <c r="C590" s="7"/>
      <c r="D590" s="7"/>
      <c r="E590" s="7"/>
      <c r="F590" s="7"/>
      <c r="G590" s="7"/>
    </row>
    <row r="591" spans="1:7" x14ac:dyDescent="0.2">
      <c r="A591" s="6"/>
      <c r="B591" s="7"/>
      <c r="C591" s="7"/>
      <c r="D591" s="7"/>
      <c r="E591" s="7"/>
      <c r="F591" s="7"/>
      <c r="G591" s="7"/>
    </row>
    <row r="592" spans="1:7" x14ac:dyDescent="0.2">
      <c r="A592" s="6"/>
      <c r="B592" s="7"/>
      <c r="C592" s="7"/>
      <c r="D592" s="7"/>
      <c r="E592" s="7"/>
      <c r="F592" s="7"/>
      <c r="G592" s="7"/>
    </row>
    <row r="593" spans="1:7" x14ac:dyDescent="0.2">
      <c r="A593" s="6"/>
      <c r="B593" s="7"/>
      <c r="C593" s="7"/>
      <c r="D593" s="7"/>
      <c r="E593" s="7"/>
      <c r="F593" s="7"/>
      <c r="G593" s="7"/>
    </row>
    <row r="594" spans="1:7" x14ac:dyDescent="0.2">
      <c r="A594" s="6"/>
      <c r="B594" s="7"/>
      <c r="C594" s="7"/>
      <c r="D594" s="7"/>
      <c r="E594" s="7"/>
      <c r="F594" s="7"/>
      <c r="G594" s="7"/>
    </row>
    <row r="595" spans="1:7" x14ac:dyDescent="0.2">
      <c r="A595" s="6"/>
      <c r="B595" s="7"/>
      <c r="C595" s="7"/>
      <c r="D595" s="7"/>
      <c r="E595" s="7"/>
      <c r="F595" s="7"/>
      <c r="G595" s="7"/>
    </row>
    <row r="596" spans="1:7" x14ac:dyDescent="0.2">
      <c r="A596" s="6"/>
      <c r="B596" s="7"/>
      <c r="C596" s="7"/>
      <c r="D596" s="7"/>
      <c r="E596" s="7"/>
      <c r="F596" s="7"/>
      <c r="G596" s="7"/>
    </row>
    <row r="597" spans="1:7" x14ac:dyDescent="0.2">
      <c r="A597" s="6"/>
      <c r="B597" s="7"/>
      <c r="C597" s="7"/>
      <c r="D597" s="7"/>
      <c r="E597" s="7"/>
      <c r="F597" s="7"/>
      <c r="G597" s="7"/>
    </row>
    <row r="598" spans="1:7" x14ac:dyDescent="0.2">
      <c r="A598" s="6"/>
      <c r="B598" s="7"/>
      <c r="C598" s="7"/>
      <c r="D598" s="7"/>
      <c r="E598" s="7"/>
      <c r="F598" s="7"/>
      <c r="G598" s="7"/>
    </row>
    <row r="599" spans="1:7" x14ac:dyDescent="0.2">
      <c r="A599" s="6"/>
      <c r="B599" s="7"/>
      <c r="C599" s="7"/>
      <c r="D599" s="7"/>
      <c r="E599" s="7"/>
      <c r="F599" s="7"/>
      <c r="G599" s="7"/>
    </row>
    <row r="600" spans="1:7" x14ac:dyDescent="0.2">
      <c r="A600" s="6"/>
      <c r="B600" s="7"/>
      <c r="C600" s="7"/>
      <c r="D600" s="7"/>
      <c r="E600" s="7"/>
      <c r="F600" s="7"/>
      <c r="G600" s="7"/>
    </row>
    <row r="601" spans="1:7" x14ac:dyDescent="0.2">
      <c r="A601" s="6"/>
      <c r="B601" s="7"/>
      <c r="C601" s="7"/>
      <c r="D601" s="7"/>
      <c r="E601" s="7"/>
      <c r="F601" s="7"/>
      <c r="G601" s="7"/>
    </row>
    <row r="602" spans="1:7" x14ac:dyDescent="0.2">
      <c r="A602" s="6"/>
      <c r="B602" s="7"/>
      <c r="C602" s="7"/>
      <c r="D602" s="7"/>
      <c r="E602" s="7"/>
      <c r="F602" s="7"/>
      <c r="G602" s="7"/>
    </row>
    <row r="603" spans="1:7" x14ac:dyDescent="0.2">
      <c r="A603" s="6"/>
      <c r="B603" s="7"/>
      <c r="C603" s="7"/>
      <c r="D603" s="7"/>
      <c r="E603" s="7"/>
      <c r="F603" s="7"/>
      <c r="G603" s="7"/>
    </row>
    <row r="604" spans="1:7" x14ac:dyDescent="0.2">
      <c r="A604" s="6"/>
      <c r="B604" s="7"/>
      <c r="C604" s="7"/>
      <c r="D604" s="7"/>
      <c r="E604" s="7"/>
      <c r="F604" s="7"/>
      <c r="G604" s="7"/>
    </row>
    <row r="605" spans="1:7" x14ac:dyDescent="0.2">
      <c r="A605" s="6"/>
      <c r="B605" s="7"/>
      <c r="C605" s="7"/>
      <c r="D605" s="7"/>
      <c r="E605" s="7"/>
      <c r="F605" s="7"/>
      <c r="G605" s="7"/>
    </row>
    <row r="606" spans="1:7" x14ac:dyDescent="0.2">
      <c r="A606" s="6"/>
      <c r="B606" s="7"/>
      <c r="C606" s="7"/>
      <c r="D606" s="7"/>
      <c r="E606" s="7"/>
      <c r="F606" s="7"/>
      <c r="G606" s="7"/>
    </row>
    <row r="607" spans="1:7" x14ac:dyDescent="0.2">
      <c r="A607" s="6"/>
      <c r="B607" s="7"/>
      <c r="C607" s="7"/>
      <c r="D607" s="7"/>
      <c r="E607" s="7"/>
      <c r="F607" s="7"/>
      <c r="G607" s="7"/>
    </row>
    <row r="608" spans="1:7" x14ac:dyDescent="0.2">
      <c r="A608" s="6"/>
      <c r="B608" s="7"/>
      <c r="C608" s="7"/>
      <c r="D608" s="7"/>
      <c r="E608" s="7"/>
      <c r="F608" s="7"/>
      <c r="G608" s="7"/>
    </row>
    <row r="609" spans="1:7" x14ac:dyDescent="0.2">
      <c r="A609" s="6"/>
      <c r="B609" s="7"/>
      <c r="C609" s="7"/>
      <c r="D609" s="7"/>
      <c r="E609" s="7"/>
      <c r="F609" s="7"/>
      <c r="G609" s="7"/>
    </row>
    <row r="610" spans="1:7" x14ac:dyDescent="0.2">
      <c r="A610" s="6"/>
      <c r="B610" s="7"/>
      <c r="C610" s="7"/>
      <c r="D610" s="7"/>
      <c r="E610" s="7"/>
      <c r="F610" s="7"/>
      <c r="G610" s="7"/>
    </row>
    <row r="611" spans="1:7" x14ac:dyDescent="0.2">
      <c r="A611" s="6"/>
      <c r="B611" s="7"/>
      <c r="C611" s="7"/>
      <c r="D611" s="7"/>
      <c r="E611" s="7"/>
      <c r="F611" s="7"/>
      <c r="G611" s="7"/>
    </row>
    <row r="612" spans="1:7" x14ac:dyDescent="0.2">
      <c r="A612" s="6"/>
      <c r="B612" s="7"/>
      <c r="C612" s="7"/>
      <c r="D612" s="7"/>
      <c r="E612" s="7"/>
      <c r="F612" s="7"/>
      <c r="G612" s="7"/>
    </row>
    <row r="613" spans="1:7" x14ac:dyDescent="0.2">
      <c r="A613" s="6"/>
      <c r="B613" s="7"/>
      <c r="C613" s="7"/>
      <c r="D613" s="7"/>
      <c r="E613" s="7"/>
      <c r="F613" s="7"/>
      <c r="G613" s="7"/>
    </row>
    <row r="614" spans="1:7" x14ac:dyDescent="0.2">
      <c r="A614" s="6"/>
      <c r="B614" s="7"/>
      <c r="C614" s="7"/>
      <c r="D614" s="7"/>
      <c r="E614" s="7"/>
      <c r="F614" s="7"/>
      <c r="G614" s="7"/>
    </row>
    <row r="615" spans="1:7" x14ac:dyDescent="0.2">
      <c r="A615" s="6"/>
      <c r="B615" s="7"/>
      <c r="C615" s="7"/>
      <c r="D615" s="7"/>
      <c r="E615" s="7"/>
      <c r="F615" s="7"/>
      <c r="G615" s="7"/>
    </row>
    <row r="616" spans="1:7" x14ac:dyDescent="0.2">
      <c r="A616" s="6"/>
      <c r="B616" s="7"/>
      <c r="C616" s="7"/>
      <c r="D616" s="7"/>
      <c r="E616" s="7"/>
      <c r="F616" s="7"/>
      <c r="G616" s="7"/>
    </row>
    <row r="617" spans="1:7" x14ac:dyDescent="0.2">
      <c r="A617" s="6"/>
      <c r="B617" s="7"/>
      <c r="C617" s="7"/>
      <c r="D617" s="7"/>
      <c r="E617" s="7"/>
      <c r="F617" s="7"/>
      <c r="G617" s="7"/>
    </row>
    <row r="618" spans="1:7" x14ac:dyDescent="0.2">
      <c r="A618" s="6"/>
      <c r="B618" s="7"/>
      <c r="C618" s="7"/>
      <c r="D618" s="7"/>
      <c r="E618" s="7"/>
      <c r="F618" s="7"/>
      <c r="G618" s="7"/>
    </row>
    <row r="619" spans="1:7" x14ac:dyDescent="0.2">
      <c r="A619" s="6"/>
      <c r="B619" s="7"/>
      <c r="C619" s="7"/>
      <c r="D619" s="7"/>
      <c r="E619" s="7"/>
      <c r="F619" s="7"/>
      <c r="G619" s="7"/>
    </row>
    <row r="620" spans="1:7" x14ac:dyDescent="0.2">
      <c r="A620" s="6"/>
      <c r="B620" s="7"/>
      <c r="C620" s="7"/>
      <c r="D620" s="7"/>
      <c r="E620" s="7"/>
      <c r="F620" s="7"/>
      <c r="G620" s="7"/>
    </row>
    <row r="621" spans="1:7" x14ac:dyDescent="0.2">
      <c r="A621" s="6"/>
      <c r="B621" s="7"/>
      <c r="C621" s="7"/>
      <c r="D621" s="7"/>
      <c r="E621" s="7"/>
      <c r="F621" s="7"/>
      <c r="G621" s="7"/>
    </row>
    <row r="622" spans="1:7" x14ac:dyDescent="0.2">
      <c r="A622" s="6"/>
      <c r="B622" s="7"/>
      <c r="C622" s="7"/>
      <c r="D622" s="7"/>
      <c r="E622" s="7"/>
      <c r="F622" s="7"/>
      <c r="G622" s="7"/>
    </row>
    <row r="623" spans="1:7" x14ac:dyDescent="0.2">
      <c r="A623" s="6"/>
      <c r="B623" s="7"/>
      <c r="C623" s="7"/>
      <c r="D623" s="7"/>
      <c r="E623" s="7"/>
      <c r="F623" s="7"/>
      <c r="G623" s="7"/>
    </row>
    <row r="624" spans="1:7" x14ac:dyDescent="0.2">
      <c r="A624" s="6"/>
      <c r="B624" s="7"/>
      <c r="C624" s="7"/>
      <c r="D624" s="7"/>
      <c r="E624" s="7"/>
      <c r="F624" s="7"/>
      <c r="G624" s="7"/>
    </row>
    <row r="625" spans="1:7" x14ac:dyDescent="0.2">
      <c r="A625" s="6"/>
      <c r="B625" s="7"/>
      <c r="C625" s="7"/>
      <c r="D625" s="7"/>
      <c r="E625" s="7"/>
      <c r="F625" s="7"/>
      <c r="G625" s="7"/>
    </row>
    <row r="626" spans="1:7" x14ac:dyDescent="0.2">
      <c r="A626" s="6"/>
      <c r="B626" s="7"/>
      <c r="C626" s="7"/>
      <c r="D626" s="7"/>
      <c r="E626" s="7"/>
      <c r="F626" s="7"/>
      <c r="G626" s="7"/>
    </row>
    <row r="627" spans="1:7" x14ac:dyDescent="0.2">
      <c r="A627" s="6"/>
      <c r="B627" s="7"/>
      <c r="C627" s="7"/>
      <c r="D627" s="7"/>
      <c r="E627" s="7"/>
      <c r="F627" s="7"/>
      <c r="G627" s="7"/>
    </row>
    <row r="628" spans="1:7" x14ac:dyDescent="0.2">
      <c r="A628" s="6"/>
      <c r="B628" s="7"/>
      <c r="C628" s="7"/>
      <c r="D628" s="7"/>
      <c r="E628" s="7"/>
      <c r="F628" s="7"/>
      <c r="G628" s="7"/>
    </row>
    <row r="629" spans="1:7" x14ac:dyDescent="0.2">
      <c r="A629" s="6"/>
      <c r="B629" s="7"/>
      <c r="C629" s="7"/>
      <c r="D629" s="7"/>
      <c r="E629" s="7"/>
      <c r="F629" s="7"/>
      <c r="G629" s="7"/>
    </row>
    <row r="630" spans="1:7" x14ac:dyDescent="0.2">
      <c r="A630" s="6"/>
      <c r="B630" s="7"/>
      <c r="C630" s="7"/>
      <c r="D630" s="7"/>
      <c r="E630" s="7"/>
      <c r="F630" s="7"/>
      <c r="G630" s="7"/>
    </row>
    <row r="631" spans="1:7" x14ac:dyDescent="0.2">
      <c r="A631" s="6"/>
      <c r="B631" s="7"/>
      <c r="C631" s="7"/>
      <c r="D631" s="7"/>
      <c r="E631" s="7"/>
      <c r="F631" s="7"/>
      <c r="G631" s="7"/>
    </row>
    <row r="632" spans="1:7" x14ac:dyDescent="0.2">
      <c r="A632" s="6"/>
      <c r="B632" s="7"/>
      <c r="C632" s="7"/>
      <c r="D632" s="7"/>
      <c r="E632" s="7"/>
      <c r="F632" s="7"/>
      <c r="G632" s="7"/>
    </row>
    <row r="633" spans="1:7" x14ac:dyDescent="0.2">
      <c r="A633" s="6"/>
      <c r="B633" s="7"/>
      <c r="C633" s="7"/>
      <c r="D633" s="7"/>
      <c r="E633" s="7"/>
      <c r="F633" s="7"/>
      <c r="G633" s="7"/>
    </row>
    <row r="634" spans="1:7" x14ac:dyDescent="0.2">
      <c r="A634" s="6"/>
      <c r="B634" s="7"/>
      <c r="C634" s="7"/>
      <c r="D634" s="7"/>
      <c r="E634" s="7"/>
      <c r="F634" s="7"/>
      <c r="G634" s="7"/>
    </row>
    <row r="635" spans="1:7" x14ac:dyDescent="0.2">
      <c r="A635" s="6"/>
      <c r="B635" s="7"/>
      <c r="C635" s="7"/>
      <c r="D635" s="7"/>
      <c r="E635" s="7"/>
      <c r="F635" s="7"/>
      <c r="G635" s="7"/>
    </row>
    <row r="636" spans="1:7" x14ac:dyDescent="0.2">
      <c r="A636" s="6"/>
      <c r="B636" s="7"/>
      <c r="C636" s="7"/>
      <c r="D636" s="7"/>
      <c r="E636" s="7"/>
      <c r="F636" s="7"/>
      <c r="G636" s="7"/>
    </row>
    <row r="637" spans="1:7" x14ac:dyDescent="0.2">
      <c r="A637" s="6"/>
      <c r="B637" s="7"/>
      <c r="C637" s="7"/>
      <c r="D637" s="7"/>
      <c r="E637" s="7"/>
      <c r="F637" s="7"/>
      <c r="G637" s="7"/>
    </row>
    <row r="638" spans="1:7" x14ac:dyDescent="0.2">
      <c r="A638" s="6"/>
      <c r="B638" s="7"/>
      <c r="C638" s="7"/>
      <c r="D638" s="7"/>
      <c r="E638" s="7"/>
      <c r="F638" s="7"/>
      <c r="G638" s="7"/>
    </row>
    <row r="639" spans="1:7" x14ac:dyDescent="0.2">
      <c r="A639" s="6"/>
      <c r="B639" s="7"/>
      <c r="C639" s="7"/>
      <c r="D639" s="7"/>
      <c r="E639" s="7"/>
      <c r="F639" s="7"/>
      <c r="G639" s="7"/>
    </row>
    <row r="640" spans="1:7" x14ac:dyDescent="0.2">
      <c r="A640" s="6"/>
      <c r="B640" s="7"/>
      <c r="C640" s="7"/>
      <c r="D640" s="7"/>
      <c r="E640" s="7"/>
      <c r="F640" s="7"/>
      <c r="G640" s="7"/>
    </row>
    <row r="641" spans="1:7" x14ac:dyDescent="0.2">
      <c r="A641" s="6"/>
      <c r="B641" s="7"/>
      <c r="C641" s="7"/>
      <c r="D641" s="7"/>
      <c r="E641" s="7"/>
      <c r="F641" s="7"/>
      <c r="G641" s="7"/>
    </row>
    <row r="642" spans="1:7" x14ac:dyDescent="0.2">
      <c r="A642" s="6"/>
      <c r="B642" s="7"/>
      <c r="C642" s="7"/>
      <c r="D642" s="7"/>
      <c r="E642" s="7"/>
      <c r="F642" s="7"/>
      <c r="G642" s="7"/>
    </row>
    <row r="643" spans="1:7" x14ac:dyDescent="0.2">
      <c r="A643" s="6"/>
      <c r="B643" s="7"/>
      <c r="C643" s="7"/>
      <c r="D643" s="7"/>
      <c r="E643" s="7"/>
      <c r="F643" s="7"/>
      <c r="G643" s="7"/>
    </row>
    <row r="644" spans="1:7" x14ac:dyDescent="0.2">
      <c r="A644" s="6"/>
      <c r="B644" s="7"/>
      <c r="C644" s="7"/>
      <c r="D644" s="7"/>
      <c r="E644" s="7"/>
      <c r="F644" s="7"/>
      <c r="G644" s="7"/>
    </row>
    <row r="645" spans="1:7" x14ac:dyDescent="0.2">
      <c r="A645" s="6"/>
      <c r="B645" s="7"/>
      <c r="C645" s="7"/>
      <c r="D645" s="7"/>
      <c r="E645" s="7"/>
      <c r="F645" s="7"/>
      <c r="G645" s="7"/>
    </row>
    <row r="646" spans="1:7" x14ac:dyDescent="0.2">
      <c r="A646" s="6"/>
      <c r="B646" s="7"/>
      <c r="C646" s="7"/>
      <c r="D646" s="7"/>
      <c r="E646" s="7"/>
      <c r="F646" s="7"/>
      <c r="G646" s="7"/>
    </row>
    <row r="647" spans="1:7" x14ac:dyDescent="0.2">
      <c r="A647" s="6"/>
      <c r="B647" s="7"/>
      <c r="C647" s="7"/>
      <c r="D647" s="7"/>
      <c r="E647" s="7"/>
      <c r="F647" s="7"/>
      <c r="G647" s="7"/>
    </row>
    <row r="648" spans="1:7" x14ac:dyDescent="0.2">
      <c r="A648" s="6"/>
      <c r="B648" s="7"/>
      <c r="C648" s="7"/>
      <c r="D648" s="7"/>
      <c r="E648" s="7"/>
      <c r="F648" s="7"/>
      <c r="G648" s="7"/>
    </row>
    <row r="649" spans="1:7" x14ac:dyDescent="0.2">
      <c r="A649" s="6"/>
      <c r="B649" s="7"/>
      <c r="C649" s="7"/>
      <c r="D649" s="7"/>
      <c r="E649" s="7"/>
      <c r="F649" s="7"/>
      <c r="G649" s="7"/>
    </row>
    <row r="650" spans="1:7" x14ac:dyDescent="0.2">
      <c r="A650" s="6"/>
      <c r="B650" s="7"/>
      <c r="C650" s="7"/>
      <c r="D650" s="7"/>
      <c r="E650" s="7"/>
      <c r="F650" s="7"/>
      <c r="G650" s="7"/>
    </row>
    <row r="651" spans="1:7" x14ac:dyDescent="0.2">
      <c r="A651" s="6"/>
      <c r="B651" s="7"/>
      <c r="C651" s="7"/>
      <c r="D651" s="7"/>
      <c r="E651" s="7"/>
      <c r="F651" s="7"/>
      <c r="G651" s="7"/>
    </row>
    <row r="652" spans="1:7" x14ac:dyDescent="0.2">
      <c r="A652" s="6"/>
      <c r="B652" s="7"/>
      <c r="C652" s="7"/>
      <c r="D652" s="7"/>
      <c r="E652" s="7"/>
      <c r="F652" s="7"/>
      <c r="G652" s="7"/>
    </row>
    <row r="653" spans="1:7" x14ac:dyDescent="0.2">
      <c r="A653" s="6"/>
      <c r="B653" s="7"/>
      <c r="C653" s="7"/>
      <c r="D653" s="7"/>
      <c r="E653" s="7"/>
      <c r="F653" s="7"/>
      <c r="G653" s="7"/>
    </row>
    <row r="654" spans="1:7" x14ac:dyDescent="0.2">
      <c r="A654" s="6"/>
      <c r="B654" s="7"/>
      <c r="C654" s="7"/>
      <c r="D654" s="7"/>
      <c r="E654" s="7"/>
      <c r="F654" s="7"/>
      <c r="G654" s="7"/>
    </row>
    <row r="655" spans="1:7" x14ac:dyDescent="0.2">
      <c r="A655" s="6"/>
      <c r="B655" s="7"/>
      <c r="C655" s="7"/>
      <c r="D655" s="7"/>
      <c r="E655" s="7"/>
      <c r="F655" s="7"/>
      <c r="G655" s="7"/>
    </row>
    <row r="656" spans="1:7" x14ac:dyDescent="0.2">
      <c r="A656" s="6"/>
      <c r="B656" s="7"/>
      <c r="C656" s="7"/>
      <c r="D656" s="7"/>
      <c r="E656" s="7"/>
      <c r="F656" s="7"/>
      <c r="G656" s="7"/>
    </row>
    <row r="657" spans="1:7" x14ac:dyDescent="0.2">
      <c r="A657" s="6"/>
      <c r="B657" s="7"/>
      <c r="C657" s="7"/>
      <c r="D657" s="7"/>
      <c r="E657" s="7"/>
      <c r="F657" s="7"/>
      <c r="G657" s="7"/>
    </row>
    <row r="658" spans="1:7" x14ac:dyDescent="0.2">
      <c r="A658" s="6"/>
      <c r="B658" s="7"/>
      <c r="C658" s="7"/>
      <c r="D658" s="7"/>
      <c r="E658" s="7"/>
      <c r="F658" s="7"/>
      <c r="G658" s="7"/>
    </row>
    <row r="659" spans="1:7" x14ac:dyDescent="0.2">
      <c r="A659" s="6"/>
      <c r="B659" s="7"/>
      <c r="C659" s="7"/>
      <c r="D659" s="7"/>
      <c r="E659" s="7"/>
      <c r="F659" s="7"/>
      <c r="G659" s="7"/>
    </row>
    <row r="660" spans="1:7" x14ac:dyDescent="0.2">
      <c r="A660" s="6"/>
      <c r="B660" s="7"/>
      <c r="C660" s="7"/>
      <c r="D660" s="7"/>
      <c r="E660" s="7"/>
      <c r="F660" s="7"/>
      <c r="G660" s="7"/>
    </row>
    <row r="661" spans="1:7" x14ac:dyDescent="0.2">
      <c r="A661" s="6"/>
      <c r="B661" s="7"/>
      <c r="C661" s="7"/>
      <c r="D661" s="7"/>
      <c r="E661" s="7"/>
      <c r="F661" s="7"/>
      <c r="G661" s="7"/>
    </row>
    <row r="662" spans="1:7" x14ac:dyDescent="0.2">
      <c r="A662" s="6"/>
      <c r="B662" s="7"/>
      <c r="C662" s="7"/>
      <c r="D662" s="7"/>
      <c r="E662" s="7"/>
      <c r="F662" s="7"/>
      <c r="G662" s="7"/>
    </row>
    <row r="663" spans="1:7" x14ac:dyDescent="0.2">
      <c r="A663" s="6"/>
      <c r="B663" s="7"/>
      <c r="C663" s="7"/>
      <c r="D663" s="7"/>
      <c r="E663" s="7"/>
      <c r="F663" s="7"/>
      <c r="G663" s="7"/>
    </row>
    <row r="664" spans="1:7" x14ac:dyDescent="0.2">
      <c r="A664" s="6"/>
      <c r="B664" s="7"/>
      <c r="C664" s="7"/>
      <c r="D664" s="7"/>
      <c r="E664" s="7"/>
      <c r="F664" s="7"/>
      <c r="G664" s="7"/>
    </row>
    <row r="665" spans="1:7" x14ac:dyDescent="0.2">
      <c r="A665" s="6"/>
      <c r="B665" s="7"/>
      <c r="C665" s="7"/>
      <c r="D665" s="7"/>
      <c r="E665" s="7"/>
      <c r="F665" s="7"/>
      <c r="G665" s="7"/>
    </row>
    <row r="666" spans="1:7" x14ac:dyDescent="0.2">
      <c r="A666" s="6"/>
      <c r="B666" s="7"/>
      <c r="C666" s="7"/>
      <c r="D666" s="7"/>
      <c r="E666" s="7"/>
      <c r="F666" s="7"/>
      <c r="G666" s="7"/>
    </row>
    <row r="667" spans="1:7" x14ac:dyDescent="0.2">
      <c r="A667" s="6"/>
      <c r="B667" s="7"/>
      <c r="C667" s="7"/>
      <c r="D667" s="7"/>
      <c r="E667" s="7"/>
      <c r="F667" s="7"/>
      <c r="G667" s="7"/>
    </row>
    <row r="668" spans="1:7" x14ac:dyDescent="0.2">
      <c r="A668" s="6"/>
      <c r="B668" s="7"/>
      <c r="C668" s="7"/>
      <c r="D668" s="7"/>
      <c r="E668" s="7"/>
      <c r="F668" s="7"/>
      <c r="G668" s="7"/>
    </row>
    <row r="669" spans="1:7" x14ac:dyDescent="0.2">
      <c r="A669" s="6"/>
      <c r="B669" s="7"/>
      <c r="C669" s="7"/>
      <c r="D669" s="7"/>
      <c r="E669" s="7"/>
      <c r="F669" s="7"/>
      <c r="G669" s="7"/>
    </row>
    <row r="670" spans="1:7" x14ac:dyDescent="0.2">
      <c r="A670" s="6"/>
      <c r="B670" s="7"/>
      <c r="C670" s="7"/>
      <c r="D670" s="7"/>
      <c r="E670" s="7"/>
      <c r="F670" s="7"/>
      <c r="G670" s="7"/>
    </row>
    <row r="671" spans="1:7" x14ac:dyDescent="0.2">
      <c r="A671" s="6"/>
      <c r="B671" s="7"/>
      <c r="C671" s="7"/>
      <c r="D671" s="7"/>
      <c r="E671" s="7"/>
      <c r="F671" s="7"/>
      <c r="G671" s="7"/>
    </row>
    <row r="672" spans="1:7" x14ac:dyDescent="0.2">
      <c r="A672" s="6"/>
      <c r="B672" s="7"/>
      <c r="C672" s="7"/>
      <c r="D672" s="7"/>
      <c r="E672" s="7"/>
      <c r="F672" s="7"/>
      <c r="G672" s="7"/>
    </row>
    <row r="673" spans="1:7" x14ac:dyDescent="0.2">
      <c r="A673" s="6"/>
      <c r="B673" s="7"/>
      <c r="C673" s="7"/>
      <c r="D673" s="7"/>
      <c r="E673" s="7"/>
      <c r="F673" s="7"/>
      <c r="G673" s="7"/>
    </row>
    <row r="674" spans="1:7" x14ac:dyDescent="0.2">
      <c r="A674" s="6"/>
      <c r="B674" s="7"/>
      <c r="C674" s="7"/>
      <c r="D674" s="7"/>
      <c r="E674" s="7"/>
      <c r="F674" s="7"/>
      <c r="G674" s="7"/>
    </row>
    <row r="675" spans="1:7" x14ac:dyDescent="0.2">
      <c r="A675" s="6"/>
      <c r="B675" s="7"/>
      <c r="C675" s="7"/>
      <c r="D675" s="7"/>
      <c r="E675" s="7"/>
      <c r="F675" s="7"/>
      <c r="G675" s="7"/>
    </row>
    <row r="676" spans="1:7" x14ac:dyDescent="0.2">
      <c r="A676" s="6"/>
      <c r="B676" s="7"/>
      <c r="C676" s="7"/>
      <c r="D676" s="7"/>
      <c r="E676" s="7"/>
      <c r="F676" s="7"/>
      <c r="G676" s="7"/>
    </row>
    <row r="677" spans="1:7" x14ac:dyDescent="0.2">
      <c r="A677" s="6"/>
      <c r="B677" s="7"/>
      <c r="C677" s="7"/>
      <c r="D677" s="7"/>
      <c r="E677" s="7"/>
      <c r="F677" s="7"/>
      <c r="G677" s="7"/>
    </row>
    <row r="678" spans="1:7" x14ac:dyDescent="0.2">
      <c r="A678" s="6"/>
      <c r="B678" s="7"/>
      <c r="C678" s="7"/>
      <c r="D678" s="7"/>
      <c r="E678" s="7"/>
      <c r="F678" s="7"/>
      <c r="G678" s="7"/>
    </row>
    <row r="679" spans="1:7" x14ac:dyDescent="0.2">
      <c r="A679" s="6"/>
      <c r="B679" s="7"/>
      <c r="C679" s="7"/>
      <c r="D679" s="7"/>
      <c r="E679" s="7"/>
      <c r="F679" s="7"/>
      <c r="G679" s="7"/>
    </row>
    <row r="680" spans="1:7" x14ac:dyDescent="0.2">
      <c r="A680" s="6"/>
      <c r="B680" s="7"/>
      <c r="C680" s="7"/>
      <c r="D680" s="7"/>
      <c r="E680" s="7"/>
      <c r="F680" s="7"/>
      <c r="G680" s="7"/>
    </row>
    <row r="681" spans="1:7" x14ac:dyDescent="0.2">
      <c r="A681" s="6"/>
      <c r="B681" s="7"/>
      <c r="C681" s="7"/>
      <c r="D681" s="7"/>
      <c r="E681" s="7"/>
      <c r="F681" s="7"/>
      <c r="G681" s="7"/>
    </row>
    <row r="682" spans="1:7" x14ac:dyDescent="0.2">
      <c r="A682" s="6"/>
      <c r="B682" s="7"/>
      <c r="C682" s="7"/>
      <c r="D682" s="7"/>
      <c r="E682" s="7"/>
      <c r="F682" s="7"/>
      <c r="G682" s="7"/>
    </row>
    <row r="683" spans="1:7" x14ac:dyDescent="0.2">
      <c r="A683" s="6"/>
      <c r="B683" s="7"/>
      <c r="C683" s="7"/>
      <c r="D683" s="7"/>
      <c r="E683" s="7"/>
      <c r="F683" s="7"/>
      <c r="G683" s="7"/>
    </row>
    <row r="684" spans="1:7" x14ac:dyDescent="0.2">
      <c r="A684" s="6"/>
      <c r="B684" s="7"/>
      <c r="C684" s="7"/>
      <c r="D684" s="7"/>
      <c r="E684" s="7"/>
      <c r="F684" s="7"/>
      <c r="G684" s="7"/>
    </row>
    <row r="685" spans="1:7" x14ac:dyDescent="0.2">
      <c r="A685" s="6"/>
      <c r="B685" s="7"/>
      <c r="C685" s="7"/>
      <c r="D685" s="7"/>
      <c r="E685" s="7"/>
      <c r="F685" s="7"/>
      <c r="G685" s="7"/>
    </row>
    <row r="686" spans="1:7" x14ac:dyDescent="0.2">
      <c r="A686" s="6"/>
      <c r="B686" s="7"/>
      <c r="C686" s="7"/>
      <c r="D686" s="7"/>
      <c r="E686" s="7"/>
      <c r="F686" s="7"/>
      <c r="G686" s="7"/>
    </row>
    <row r="687" spans="1:7" x14ac:dyDescent="0.2">
      <c r="A687" s="6"/>
      <c r="B687" s="7"/>
      <c r="C687" s="7"/>
      <c r="D687" s="7"/>
      <c r="E687" s="7"/>
      <c r="F687" s="7"/>
      <c r="G687" s="7"/>
    </row>
    <row r="688" spans="1:7" x14ac:dyDescent="0.2">
      <c r="A688" s="6"/>
      <c r="B688" s="7"/>
      <c r="C688" s="7"/>
      <c r="D688" s="7"/>
      <c r="E688" s="7"/>
      <c r="F688" s="7"/>
      <c r="G688" s="7"/>
    </row>
    <row r="689" spans="1:7" x14ac:dyDescent="0.2">
      <c r="A689" s="6"/>
      <c r="B689" s="7"/>
      <c r="C689" s="7"/>
      <c r="D689" s="7"/>
      <c r="E689" s="7"/>
      <c r="F689" s="7"/>
      <c r="G689" s="7"/>
    </row>
    <row r="690" spans="1:7" x14ac:dyDescent="0.2">
      <c r="A690" s="6"/>
      <c r="B690" s="7"/>
      <c r="C690" s="7"/>
      <c r="D690" s="7"/>
      <c r="E690" s="7"/>
      <c r="F690" s="7"/>
      <c r="G690" s="7"/>
    </row>
    <row r="691" spans="1:7" x14ac:dyDescent="0.2">
      <c r="A691" s="6"/>
      <c r="B691" s="7"/>
      <c r="C691" s="7"/>
      <c r="D691" s="7"/>
      <c r="E691" s="7"/>
      <c r="F691" s="7"/>
      <c r="G691" s="7"/>
    </row>
    <row r="692" spans="1:7" x14ac:dyDescent="0.2">
      <c r="A692" s="6"/>
      <c r="B692" s="7"/>
      <c r="C692" s="7"/>
      <c r="D692" s="7"/>
      <c r="E692" s="7"/>
      <c r="F692" s="7"/>
      <c r="G692" s="7"/>
    </row>
    <row r="693" spans="1:7" x14ac:dyDescent="0.2">
      <c r="A693" s="6"/>
      <c r="B693" s="7"/>
      <c r="C693" s="7"/>
      <c r="D693" s="7"/>
      <c r="E693" s="7"/>
      <c r="F693" s="7"/>
      <c r="G693" s="7"/>
    </row>
    <row r="694" spans="1:7" x14ac:dyDescent="0.2">
      <c r="A694" s="6"/>
      <c r="B694" s="7"/>
      <c r="C694" s="7"/>
      <c r="D694" s="7"/>
      <c r="E694" s="7"/>
      <c r="F694" s="7"/>
      <c r="G694" s="7"/>
    </row>
    <row r="695" spans="1:7" x14ac:dyDescent="0.2">
      <c r="A695" s="6"/>
      <c r="B695" s="7"/>
      <c r="C695" s="7"/>
      <c r="D695" s="7"/>
      <c r="E695" s="7"/>
      <c r="F695" s="7"/>
      <c r="G695" s="7"/>
    </row>
    <row r="696" spans="1:7" x14ac:dyDescent="0.2">
      <c r="A696" s="6"/>
      <c r="B696" s="7"/>
      <c r="C696" s="7"/>
      <c r="D696" s="7"/>
      <c r="E696" s="7"/>
      <c r="F696" s="7"/>
      <c r="G696" s="7"/>
    </row>
    <row r="697" spans="1:7" x14ac:dyDescent="0.2">
      <c r="A697" s="6"/>
      <c r="B697" s="7"/>
      <c r="C697" s="7"/>
      <c r="D697" s="7"/>
      <c r="E697" s="7"/>
      <c r="F697" s="7"/>
      <c r="G697" s="7"/>
    </row>
    <row r="698" spans="1:7" x14ac:dyDescent="0.2">
      <c r="A698" s="6"/>
      <c r="B698" s="7"/>
      <c r="C698" s="7"/>
      <c r="D698" s="7"/>
      <c r="E698" s="7"/>
      <c r="F698" s="7"/>
      <c r="G698" s="7"/>
    </row>
    <row r="699" spans="1:7" x14ac:dyDescent="0.2">
      <c r="A699" s="6"/>
      <c r="B699" s="7"/>
      <c r="C699" s="7"/>
      <c r="D699" s="7"/>
      <c r="E699" s="7"/>
      <c r="F699" s="7"/>
      <c r="G699" s="7"/>
    </row>
    <row r="700" spans="1:7" x14ac:dyDescent="0.2">
      <c r="A700" s="6"/>
      <c r="B700" s="7"/>
      <c r="C700" s="7"/>
      <c r="D700" s="7"/>
      <c r="E700" s="7"/>
      <c r="F700" s="7"/>
      <c r="G700" s="7"/>
    </row>
    <row r="701" spans="1:7" x14ac:dyDescent="0.2">
      <c r="A701" s="6"/>
      <c r="B701" s="7"/>
      <c r="C701" s="7"/>
      <c r="D701" s="7"/>
      <c r="E701" s="7"/>
      <c r="F701" s="7"/>
      <c r="G701" s="7"/>
    </row>
    <row r="702" spans="1:7" x14ac:dyDescent="0.2">
      <c r="A702" s="6"/>
      <c r="B702" s="7"/>
      <c r="C702" s="7"/>
      <c r="D702" s="7"/>
      <c r="E702" s="7"/>
      <c r="F702" s="7"/>
      <c r="G702" s="7"/>
    </row>
    <row r="703" spans="1:7" x14ac:dyDescent="0.2">
      <c r="A703" s="6"/>
      <c r="B703" s="7"/>
      <c r="C703" s="7"/>
      <c r="D703" s="7"/>
      <c r="E703" s="7"/>
      <c r="F703" s="7"/>
      <c r="G703" s="7"/>
    </row>
    <row r="704" spans="1:7" x14ac:dyDescent="0.2">
      <c r="A704" s="6"/>
      <c r="B704" s="7"/>
      <c r="C704" s="7"/>
      <c r="D704" s="7"/>
      <c r="E704" s="7"/>
      <c r="F704" s="7"/>
      <c r="G704" s="7"/>
    </row>
    <row r="705" spans="1:7" x14ac:dyDescent="0.2">
      <c r="A705" s="6"/>
      <c r="B705" s="7"/>
      <c r="C705" s="7"/>
      <c r="D705" s="7"/>
      <c r="E705" s="7"/>
      <c r="F705" s="7"/>
      <c r="G705" s="7"/>
    </row>
    <row r="706" spans="1:7" x14ac:dyDescent="0.2">
      <c r="A706" s="6"/>
      <c r="B706" s="7"/>
      <c r="C706" s="7"/>
      <c r="D706" s="7"/>
      <c r="E706" s="7"/>
      <c r="F706" s="7"/>
      <c r="G706" s="7"/>
    </row>
    <row r="707" spans="1:7" x14ac:dyDescent="0.2">
      <c r="A707" s="6"/>
      <c r="B707" s="7"/>
      <c r="C707" s="7"/>
      <c r="D707" s="7"/>
      <c r="E707" s="7"/>
      <c r="F707" s="7"/>
      <c r="G707" s="7"/>
    </row>
    <row r="708" spans="1:7" x14ac:dyDescent="0.2">
      <c r="A708" s="6"/>
      <c r="B708" s="7"/>
      <c r="C708" s="7"/>
      <c r="D708" s="7"/>
      <c r="E708" s="7"/>
      <c r="F708" s="7"/>
      <c r="G708" s="7"/>
    </row>
    <row r="709" spans="1:7" x14ac:dyDescent="0.2">
      <c r="A709" s="6"/>
      <c r="B709" s="7"/>
      <c r="C709" s="7"/>
      <c r="D709" s="7"/>
      <c r="E709" s="7"/>
      <c r="F709" s="7"/>
      <c r="G709" s="7"/>
    </row>
    <row r="710" spans="1:7" x14ac:dyDescent="0.2">
      <c r="A710" s="6"/>
      <c r="B710" s="7"/>
      <c r="C710" s="7"/>
      <c r="D710" s="7"/>
      <c r="E710" s="7"/>
      <c r="F710" s="7"/>
      <c r="G710" s="7"/>
    </row>
    <row r="711" spans="1:7" x14ac:dyDescent="0.2">
      <c r="A711" s="6"/>
      <c r="B711" s="7"/>
      <c r="C711" s="7"/>
      <c r="D711" s="7"/>
      <c r="E711" s="7"/>
      <c r="F711" s="7"/>
      <c r="G711" s="7"/>
    </row>
    <row r="712" spans="1:7" x14ac:dyDescent="0.2">
      <c r="A712" s="6"/>
      <c r="B712" s="7"/>
      <c r="C712" s="7"/>
      <c r="D712" s="7"/>
      <c r="E712" s="7"/>
      <c r="F712" s="7"/>
      <c r="G712" s="7"/>
    </row>
    <row r="713" spans="1:7" x14ac:dyDescent="0.2">
      <c r="A713" s="6"/>
      <c r="B713" s="7"/>
      <c r="C713" s="7"/>
      <c r="D713" s="7"/>
      <c r="E713" s="7"/>
      <c r="F713" s="7"/>
      <c r="G713" s="7"/>
    </row>
    <row r="714" spans="1:7" x14ac:dyDescent="0.2">
      <c r="A714" s="6"/>
      <c r="B714" s="7"/>
      <c r="C714" s="7"/>
      <c r="D714" s="7"/>
      <c r="E714" s="7"/>
      <c r="F714" s="7"/>
      <c r="G714" s="7"/>
    </row>
    <row r="715" spans="1:7" x14ac:dyDescent="0.2">
      <c r="A715" s="6"/>
      <c r="B715" s="7"/>
      <c r="C715" s="7"/>
      <c r="D715" s="7"/>
      <c r="E715" s="7"/>
      <c r="F715" s="7"/>
      <c r="G715" s="7"/>
    </row>
    <row r="716" spans="1:7" x14ac:dyDescent="0.2">
      <c r="A716" s="6"/>
      <c r="B716" s="7"/>
      <c r="C716" s="7"/>
      <c r="D716" s="7"/>
      <c r="E716" s="7"/>
      <c r="F716" s="7"/>
      <c r="G716" s="7"/>
    </row>
    <row r="717" spans="1:7" x14ac:dyDescent="0.2">
      <c r="A717" s="6"/>
      <c r="B717" s="7"/>
      <c r="C717" s="7"/>
      <c r="D717" s="7"/>
      <c r="E717" s="7"/>
      <c r="F717" s="7"/>
      <c r="G717" s="7"/>
    </row>
    <row r="718" spans="1:7" x14ac:dyDescent="0.2">
      <c r="A718" s="6"/>
      <c r="B718" s="7"/>
      <c r="C718" s="7"/>
      <c r="D718" s="7"/>
      <c r="E718" s="7"/>
      <c r="F718" s="7"/>
      <c r="G718" s="7"/>
    </row>
    <row r="719" spans="1:7" x14ac:dyDescent="0.2">
      <c r="A719" s="6"/>
      <c r="B719" s="7"/>
      <c r="C719" s="7"/>
      <c r="D719" s="7"/>
      <c r="E719" s="7"/>
      <c r="F719" s="7"/>
      <c r="G719" s="7"/>
    </row>
    <row r="720" spans="1:7" x14ac:dyDescent="0.2">
      <c r="A720" s="6"/>
      <c r="B720" s="7"/>
      <c r="C720" s="7"/>
      <c r="D720" s="7"/>
      <c r="E720" s="7"/>
      <c r="F720" s="7"/>
      <c r="G720" s="7"/>
    </row>
    <row r="721" spans="1:7" x14ac:dyDescent="0.2">
      <c r="A721" s="6"/>
      <c r="B721" s="7"/>
      <c r="C721" s="7"/>
      <c r="D721" s="7"/>
      <c r="E721" s="7"/>
      <c r="F721" s="7"/>
      <c r="G721" s="7"/>
    </row>
  </sheetData>
  <autoFilter ref="A1:AH193" xr:uid="{AA399A78-87C1-CC47-9F5F-8D11457D5A7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2AFA0-CDD6-4C47-9629-2753E41157C5}">
  <dimension ref="A1:B29"/>
  <sheetViews>
    <sheetView zoomScale="150" workbookViewId="0">
      <selection activeCell="B46" sqref="B46"/>
    </sheetView>
  </sheetViews>
  <sheetFormatPr baseColWidth="10" defaultRowHeight="16" x14ac:dyDescent="0.2"/>
  <cols>
    <col min="1" max="1" width="33.5" bestFit="1" customWidth="1"/>
    <col min="2" max="2" width="30.33203125" bestFit="1" customWidth="1"/>
  </cols>
  <sheetData>
    <row r="1" spans="1:2" x14ac:dyDescent="0.2">
      <c r="A1" t="s">
        <v>167</v>
      </c>
      <c r="B1" t="s">
        <v>168</v>
      </c>
    </row>
    <row r="2" spans="1:2" x14ac:dyDescent="0.2">
      <c r="A2" s="41" t="s">
        <v>178</v>
      </c>
      <c r="B2" s="41" t="s">
        <v>261</v>
      </c>
    </row>
    <row r="3" spans="1:2" x14ac:dyDescent="0.2">
      <c r="A3" s="41" t="s">
        <v>217</v>
      </c>
      <c r="B3" s="41" t="s">
        <v>288</v>
      </c>
    </row>
    <row r="4" spans="1:2" x14ac:dyDescent="0.2">
      <c r="A4" s="41" t="s">
        <v>215</v>
      </c>
      <c r="B4" s="41" t="s">
        <v>289</v>
      </c>
    </row>
    <row r="5" spans="1:2" x14ac:dyDescent="0.2">
      <c r="A5" s="41" t="s">
        <v>223</v>
      </c>
      <c r="B5" s="41" t="s">
        <v>290</v>
      </c>
    </row>
    <row r="6" spans="1:2" x14ac:dyDescent="0.2">
      <c r="A6" s="41" t="s">
        <v>237</v>
      </c>
      <c r="B6" s="41" t="s">
        <v>236</v>
      </c>
    </row>
    <row r="7" spans="1:2" x14ac:dyDescent="0.2">
      <c r="A7" s="41" t="s">
        <v>208</v>
      </c>
      <c r="B7" s="41" t="s">
        <v>236</v>
      </c>
    </row>
    <row r="8" spans="1:2" x14ac:dyDescent="0.2">
      <c r="A8" s="41" t="s">
        <v>207</v>
      </c>
      <c r="B8" s="41" t="s">
        <v>236</v>
      </c>
    </row>
    <row r="9" spans="1:2" x14ac:dyDescent="0.2">
      <c r="A9" s="41" t="s">
        <v>238</v>
      </c>
      <c r="B9" s="41" t="s">
        <v>236</v>
      </c>
    </row>
    <row r="10" spans="1:2" x14ac:dyDescent="0.2">
      <c r="A10" s="41" t="s">
        <v>226</v>
      </c>
      <c r="B10" s="41" t="s">
        <v>291</v>
      </c>
    </row>
    <row r="11" spans="1:2" x14ac:dyDescent="0.2">
      <c r="A11" s="41" t="s">
        <v>235</v>
      </c>
      <c r="B11" s="41" t="s">
        <v>292</v>
      </c>
    </row>
    <row r="12" spans="1:2" x14ac:dyDescent="0.2">
      <c r="A12" s="41" t="s">
        <v>205</v>
      </c>
      <c r="B12" s="41" t="s">
        <v>293</v>
      </c>
    </row>
    <row r="13" spans="1:2" x14ac:dyDescent="0.2">
      <c r="A13" s="41" t="s">
        <v>206</v>
      </c>
      <c r="B13" s="41" t="s">
        <v>294</v>
      </c>
    </row>
    <row r="14" spans="1:2" x14ac:dyDescent="0.2">
      <c r="A14" s="41" t="s">
        <v>229</v>
      </c>
      <c r="B14" s="41" t="s">
        <v>295</v>
      </c>
    </row>
    <row r="15" spans="1:2" x14ac:dyDescent="0.2">
      <c r="A15" s="41" t="s">
        <v>232</v>
      </c>
      <c r="B15" s="41" t="s">
        <v>296</v>
      </c>
    </row>
    <row r="16" spans="1:2" x14ac:dyDescent="0.2">
      <c r="A16" s="41" t="s">
        <v>216</v>
      </c>
      <c r="B16" s="41" t="s">
        <v>297</v>
      </c>
    </row>
    <row r="17" spans="1:2" x14ac:dyDescent="0.2">
      <c r="A17" s="41" t="s">
        <v>211</v>
      </c>
      <c r="B17" s="41" t="s">
        <v>298</v>
      </c>
    </row>
    <row r="18" spans="1:2" x14ac:dyDescent="0.2">
      <c r="A18" s="41" t="s">
        <v>218</v>
      </c>
      <c r="B18" s="41" t="s">
        <v>286</v>
      </c>
    </row>
    <row r="19" spans="1:2" x14ac:dyDescent="0.2">
      <c r="A19" s="41" t="s">
        <v>221</v>
      </c>
      <c r="B19" s="41" t="s">
        <v>299</v>
      </c>
    </row>
    <row r="20" spans="1:2" x14ac:dyDescent="0.2">
      <c r="A20" s="41" t="s">
        <v>210</v>
      </c>
      <c r="B20" s="41" t="s">
        <v>300</v>
      </c>
    </row>
    <row r="21" spans="1:2" x14ac:dyDescent="0.2">
      <c r="A21" s="41" t="s">
        <v>219</v>
      </c>
      <c r="B21" s="41" t="s">
        <v>301</v>
      </c>
    </row>
    <row r="22" spans="1:2" x14ac:dyDescent="0.2">
      <c r="A22" s="41" t="s">
        <v>239</v>
      </c>
      <c r="B22" s="41" t="s">
        <v>236</v>
      </c>
    </row>
    <row r="23" spans="1:2" x14ac:dyDescent="0.2">
      <c r="A23" s="41" t="s">
        <v>214</v>
      </c>
      <c r="B23" s="41" t="s">
        <v>236</v>
      </c>
    </row>
    <row r="24" spans="1:2" x14ac:dyDescent="0.2">
      <c r="A24" s="41" t="s">
        <v>233</v>
      </c>
      <c r="B24" s="41" t="s">
        <v>302</v>
      </c>
    </row>
    <row r="25" spans="1:2" x14ac:dyDescent="0.2">
      <c r="A25" s="41" t="s">
        <v>230</v>
      </c>
      <c r="B25" s="41" t="s">
        <v>303</v>
      </c>
    </row>
    <row r="26" spans="1:2" x14ac:dyDescent="0.2">
      <c r="A26" s="41" t="s">
        <v>222</v>
      </c>
      <c r="B26" s="41" t="s">
        <v>304</v>
      </c>
    </row>
    <row r="27" spans="1:2" x14ac:dyDescent="0.2">
      <c r="A27" s="41" t="s">
        <v>126</v>
      </c>
      <c r="B27" s="41" t="s">
        <v>291</v>
      </c>
    </row>
    <row r="28" spans="1:2" x14ac:dyDescent="0.2">
      <c r="A28" s="41" t="s">
        <v>225</v>
      </c>
      <c r="B28" s="41" t="s">
        <v>291</v>
      </c>
    </row>
    <row r="29" spans="1:2" x14ac:dyDescent="0.2">
      <c r="A29" s="41" t="s">
        <v>396</v>
      </c>
      <c r="B29" s="41" t="s">
        <v>407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0BBEB-E29D-DA45-A6F6-969878AF314B}">
  <dimension ref="A1:K40"/>
  <sheetViews>
    <sheetView zoomScale="166" workbookViewId="0">
      <selection activeCell="J10" sqref="J10"/>
    </sheetView>
  </sheetViews>
  <sheetFormatPr baseColWidth="10" defaultRowHeight="16" x14ac:dyDescent="0.2"/>
  <cols>
    <col min="1" max="1" width="47.33203125" bestFit="1" customWidth="1"/>
    <col min="2" max="2" width="26.6640625" bestFit="1" customWidth="1"/>
    <col min="3" max="3" width="21.6640625" style="4" bestFit="1" customWidth="1"/>
    <col min="4" max="4" width="12.83203125" style="1" bestFit="1" customWidth="1"/>
    <col min="5" max="5" width="45" style="28" bestFit="1" customWidth="1"/>
    <col min="6" max="6" width="52.83203125" bestFit="1" customWidth="1"/>
    <col min="7" max="7" width="57.83203125" bestFit="1" customWidth="1"/>
  </cols>
  <sheetData>
    <row r="1" spans="1:10" x14ac:dyDescent="0.2">
      <c r="A1" t="s">
        <v>255</v>
      </c>
      <c r="B1" t="s">
        <v>256</v>
      </c>
      <c r="C1" s="4" t="s">
        <v>257</v>
      </c>
      <c r="D1" s="1" t="s">
        <v>258</v>
      </c>
      <c r="E1" s="28" t="s">
        <v>335</v>
      </c>
      <c r="F1" t="s">
        <v>10</v>
      </c>
    </row>
    <row r="2" spans="1:10" x14ac:dyDescent="0.2">
      <c r="A2" s="41" t="s">
        <v>223</v>
      </c>
      <c r="B2">
        <v>25</v>
      </c>
      <c r="C2" s="4" t="s">
        <v>403</v>
      </c>
      <c r="D2" s="1">
        <v>-449.6400146484375</v>
      </c>
      <c r="E2" s="28">
        <f>monthlyStatus[[#This Row],[ Difference]]/SUM(B2:B19)</f>
        <v>-0.11589855001764036</v>
      </c>
    </row>
    <row r="3" spans="1:10" x14ac:dyDescent="0.2">
      <c r="A3" s="41" t="s">
        <v>217</v>
      </c>
      <c r="B3">
        <v>883.91</v>
      </c>
      <c r="C3" s="4" t="s">
        <v>262</v>
      </c>
      <c r="D3" s="1">
        <v>442.02999511718747</v>
      </c>
      <c r="E3" s="28">
        <f>monthlyStatus[[#This Row],[ Difference]]/SUM(B3:B20)</f>
        <v>0.11402811688822069</v>
      </c>
    </row>
    <row r="4" spans="1:10" x14ac:dyDescent="0.2">
      <c r="A4" s="41" t="s">
        <v>218</v>
      </c>
      <c r="B4">
        <v>13.84</v>
      </c>
      <c r="C4" s="4" t="s">
        <v>404</v>
      </c>
      <c r="D4" s="1">
        <v>-345.38000122070315</v>
      </c>
      <c r="E4" s="28">
        <f>monthlyStatus[[#This Row],[ Difference]]/SUM(B4:B21)</f>
        <v>-0.10907069833311854</v>
      </c>
    </row>
    <row r="5" spans="1:10" x14ac:dyDescent="0.2">
      <c r="A5" s="41" t="s">
        <v>216</v>
      </c>
      <c r="B5">
        <v>302.95</v>
      </c>
      <c r="C5" s="4" t="s">
        <v>405</v>
      </c>
      <c r="D5" s="1">
        <v>2.9499999999999886</v>
      </c>
      <c r="E5" s="28">
        <f>monthlyStatus[[#This Row],[ Difference]]/SUM(B5:B22)</f>
        <v>9.3569699910870524E-4</v>
      </c>
    </row>
    <row r="6" spans="1:10" x14ac:dyDescent="0.2">
      <c r="A6" s="41" t="s">
        <v>205</v>
      </c>
      <c r="B6">
        <v>518.29999999999995</v>
      </c>
      <c r="C6" s="4" t="s">
        <v>431</v>
      </c>
      <c r="D6" s="1">
        <v>219.8599975585937</v>
      </c>
      <c r="E6" s="28">
        <f>monthlyStatus[[#This Row],[ Difference]]/SUM(B6:B23)</f>
        <v>7.2982329538688245E-2</v>
      </c>
      <c r="H6" t="s">
        <v>331</v>
      </c>
      <c r="J6" t="s">
        <v>342</v>
      </c>
    </row>
    <row r="7" spans="1:10" x14ac:dyDescent="0.2">
      <c r="A7" s="41" t="s">
        <v>206</v>
      </c>
      <c r="B7">
        <v>1071.28</v>
      </c>
      <c r="C7" s="4" t="s">
        <v>397</v>
      </c>
      <c r="D7" s="1">
        <v>920.33999755859372</v>
      </c>
      <c r="E7" s="28">
        <f>monthlyStatus[[#This Row],[ Difference]]/SUM(B7:B24)</f>
        <v>0.36605534046821614</v>
      </c>
      <c r="H7">
        <v>14</v>
      </c>
      <c r="J7">
        <f>H7/H9*J9</f>
        <v>2048.0019736842105</v>
      </c>
    </row>
    <row r="8" spans="1:10" x14ac:dyDescent="0.2">
      <c r="A8" s="41" t="s">
        <v>211</v>
      </c>
      <c r="B8">
        <v>87.9</v>
      </c>
      <c r="C8" s="4" t="s">
        <v>398</v>
      </c>
      <c r="D8" s="1">
        <v>6.4100021362304744</v>
      </c>
      <c r="E8" s="28">
        <f>monthlyStatus[[#This Row],[ Difference]]/SUM(B8:B25)</f>
        <v>4.4423514212265838E-3</v>
      </c>
      <c r="H8" t="s">
        <v>330</v>
      </c>
      <c r="J8" t="s">
        <v>332</v>
      </c>
    </row>
    <row r="9" spans="1:10" x14ac:dyDescent="0.2">
      <c r="A9" s="41" t="s">
        <v>233</v>
      </c>
      <c r="B9">
        <v>69.349999999999994</v>
      </c>
      <c r="C9" s="4" t="s">
        <v>399</v>
      </c>
      <c r="D9" s="1">
        <v>-5.4400009155273494</v>
      </c>
      <c r="E9" s="28">
        <f>monthlyStatus[[#This Row],[ Difference]]/SUM(B9:B26)</f>
        <v>-4.0146719375418619E-3</v>
      </c>
      <c r="H9">
        <v>30.4</v>
      </c>
      <c r="J9">
        <f>SUM(B2:B29)</f>
        <v>4447.0899999999992</v>
      </c>
    </row>
    <row r="10" spans="1:10" x14ac:dyDescent="0.2">
      <c r="A10" s="41" t="s">
        <v>219</v>
      </c>
      <c r="B10">
        <v>76.650000000000006</v>
      </c>
      <c r="C10" s="4" t="s">
        <v>358</v>
      </c>
      <c r="D10" s="1">
        <v>17.559999847412115</v>
      </c>
      <c r="E10" s="28">
        <f>monthlyStatus[[#This Row],[ Difference]]/SUM(B10:B27)</f>
        <v>1.3658141876215012E-2</v>
      </c>
    </row>
    <row r="11" spans="1:10" x14ac:dyDescent="0.2">
      <c r="A11" s="41" t="s">
        <v>235</v>
      </c>
      <c r="B11">
        <v>661.26</v>
      </c>
      <c r="C11" s="4" t="s">
        <v>267</v>
      </c>
      <c r="D11" s="1">
        <v>621.26</v>
      </c>
      <c r="E11" s="28">
        <f>monthlyStatus[[#This Row],[ Difference]]/SUM(B11:B28)</f>
        <v>0.44567993342707107</v>
      </c>
      <c r="J11" t="s">
        <v>343</v>
      </c>
    </row>
    <row r="12" spans="1:10" x14ac:dyDescent="0.2">
      <c r="A12" s="41" t="s">
        <v>225</v>
      </c>
      <c r="B12">
        <v>40</v>
      </c>
      <c r="C12" s="4" t="s">
        <v>267</v>
      </c>
      <c r="D12" s="1">
        <v>0</v>
      </c>
      <c r="E12" s="28">
        <f>monthlyStatus[[#This Row],[ Difference]]/SUM(B12:B29)</f>
        <v>0</v>
      </c>
      <c r="F12" t="s">
        <v>282</v>
      </c>
      <c r="J12" s="4">
        <v>2392.61</v>
      </c>
    </row>
    <row r="13" spans="1:10" x14ac:dyDescent="0.2">
      <c r="A13" s="41" t="s">
        <v>226</v>
      </c>
      <c r="B13">
        <v>40</v>
      </c>
      <c r="C13" s="4" t="s">
        <v>406</v>
      </c>
      <c r="D13" s="1">
        <v>2.8300018310546875</v>
      </c>
      <c r="E13" s="28">
        <f>monthlyStatus[[#This Row],[ Difference]]/SUM(B13:B30)</f>
        <v>4.0623007694748975E-3</v>
      </c>
      <c r="F13" t="s">
        <v>283</v>
      </c>
    </row>
    <row r="14" spans="1:10" x14ac:dyDescent="0.2">
      <c r="A14" s="41" t="s">
        <v>396</v>
      </c>
      <c r="B14">
        <v>30</v>
      </c>
      <c r="C14" s="4" t="s">
        <v>400</v>
      </c>
      <c r="D14" s="1">
        <v>3</v>
      </c>
      <c r="E14" s="28">
        <f>monthlyStatus[[#This Row],[ Difference]]/SUM(B14:B31)</f>
        <v>4.5686438742100046E-3</v>
      </c>
      <c r="F14" t="s">
        <v>284</v>
      </c>
    </row>
    <row r="15" spans="1:10" x14ac:dyDescent="0.2">
      <c r="A15" s="41" t="s">
        <v>232</v>
      </c>
      <c r="B15">
        <v>19.16</v>
      </c>
      <c r="C15" s="4" t="s">
        <v>401</v>
      </c>
      <c r="D15" s="1">
        <v>13.56999984741211</v>
      </c>
      <c r="E15" s="28">
        <f>monthlyStatus[[#This Row],[ Difference]]/SUM(B15:B32)</f>
        <v>2.1654831002014055E-2</v>
      </c>
    </row>
    <row r="16" spans="1:10" x14ac:dyDescent="0.2">
      <c r="A16" s="41" t="s">
        <v>238</v>
      </c>
      <c r="B16">
        <v>0</v>
      </c>
      <c r="C16" s="4" t="s">
        <v>359</v>
      </c>
      <c r="D16" s="1">
        <v>-2.3599998950958252</v>
      </c>
      <c r="E16" s="28">
        <f>monthlyStatus[[#This Row],[ Difference]]/SUM(B16:B33)</f>
        <v>-3.8848374378110343E-3</v>
      </c>
      <c r="F16" t="s">
        <v>285</v>
      </c>
    </row>
    <row r="17" spans="1:11" x14ac:dyDescent="0.2">
      <c r="A17" s="41" t="s">
        <v>126</v>
      </c>
      <c r="B17">
        <v>40</v>
      </c>
      <c r="C17" s="4" t="s">
        <v>402</v>
      </c>
      <c r="D17" s="1">
        <v>36.5</v>
      </c>
      <c r="E17" s="28">
        <f>monthlyStatus[[#This Row],[ Difference]]/SUM(B17:B34)</f>
        <v>6.0083293552157239E-2</v>
      </c>
    </row>
    <row r="18" spans="1:11" x14ac:dyDescent="0.2">
      <c r="A18" s="41" t="s">
        <v>174</v>
      </c>
      <c r="C18" s="4" t="s">
        <v>174</v>
      </c>
      <c r="E18" s="28">
        <f>monthlyStatus[[#This Row],[ Difference]]/SUM(B18:B35)</f>
        <v>0</v>
      </c>
      <c r="H18" t="s">
        <v>351</v>
      </c>
      <c r="J18" t="s">
        <v>333</v>
      </c>
    </row>
    <row r="19" spans="1:11" x14ac:dyDescent="0.2">
      <c r="A19" s="41" t="s">
        <v>259</v>
      </c>
      <c r="C19" s="4" t="s">
        <v>174</v>
      </c>
      <c r="E19" s="28">
        <f>monthlyStatus[[#This Row],[ Difference]]/SUM(B19:B36)</f>
        <v>0</v>
      </c>
      <c r="H19">
        <f>J7-J12</f>
        <v>-344.60802631578963</v>
      </c>
      <c r="J19" s="28">
        <f>(J7-J12)/J7</f>
        <v>-0.1682654756898814</v>
      </c>
    </row>
    <row r="20" spans="1:11" x14ac:dyDescent="0.2">
      <c r="A20" s="41" t="s">
        <v>229</v>
      </c>
      <c r="B20">
        <v>21.9</v>
      </c>
      <c r="C20" s="4" t="s">
        <v>174</v>
      </c>
      <c r="E20" s="28">
        <f>monthlyStatus[[#This Row],[ Difference]]/SUM(B20:B37)</f>
        <v>0</v>
      </c>
      <c r="K20" t="s">
        <v>334</v>
      </c>
    </row>
    <row r="21" spans="1:11" x14ac:dyDescent="0.2">
      <c r="A21" s="41" t="s">
        <v>230</v>
      </c>
      <c r="B21">
        <v>173.98</v>
      </c>
      <c r="C21" s="4" t="s">
        <v>174</v>
      </c>
      <c r="E21" s="28">
        <f>monthlyStatus[[#This Row],[ Difference]]/SUM(B21:B38)</f>
        <v>0</v>
      </c>
    </row>
    <row r="22" spans="1:11" x14ac:dyDescent="0.2">
      <c r="A22" s="41" t="s">
        <v>207</v>
      </c>
      <c r="B22">
        <v>0</v>
      </c>
      <c r="C22" s="4" t="s">
        <v>174</v>
      </c>
      <c r="E22" s="28">
        <f>monthlyStatus[[#This Row],[ Difference]]/SUM(B22:B39)</f>
        <v>0</v>
      </c>
      <c r="H22" t="s">
        <v>344</v>
      </c>
    </row>
    <row r="23" spans="1:11" x14ac:dyDescent="0.2">
      <c r="A23" s="41" t="s">
        <v>215</v>
      </c>
      <c r="B23">
        <v>162.72999999999999</v>
      </c>
      <c r="C23" s="4" t="s">
        <v>174</v>
      </c>
      <c r="E23" s="28">
        <f>monthlyStatus[[#This Row],[ Difference]]/SUM(B23:B40)</f>
        <v>0</v>
      </c>
      <c r="G23" s="39" t="s">
        <v>345</v>
      </c>
      <c r="H23" s="39">
        <v>-34.459999084472699</v>
      </c>
      <c r="J23">
        <v>575.80999999999995</v>
      </c>
      <c r="K23" s="37" t="s">
        <v>339</v>
      </c>
    </row>
    <row r="24" spans="1:11" x14ac:dyDescent="0.2">
      <c r="A24" s="41" t="s">
        <v>222</v>
      </c>
      <c r="B24">
        <v>20</v>
      </c>
      <c r="C24" s="4" t="s">
        <v>174</v>
      </c>
      <c r="E24" s="28">
        <f>monthlyStatus[[#This Row],[ Difference]]/SUM(B24:B41)</f>
        <v>0</v>
      </c>
      <c r="G24" s="39" t="s">
        <v>346</v>
      </c>
      <c r="H24" s="39">
        <v>-2.9900000095367401</v>
      </c>
      <c r="J24">
        <v>441.88</v>
      </c>
      <c r="K24" s="38" t="s">
        <v>262</v>
      </c>
    </row>
    <row r="25" spans="1:11" x14ac:dyDescent="0.2">
      <c r="A25" s="41" t="s">
        <v>208</v>
      </c>
      <c r="B25">
        <v>0</v>
      </c>
      <c r="C25" s="4" t="s">
        <v>174</v>
      </c>
      <c r="E25" s="28">
        <f>monthlyStatus[[#This Row],[ Difference]]/SUM(B25:B42)</f>
        <v>0</v>
      </c>
      <c r="G25" s="39" t="s">
        <v>347</v>
      </c>
      <c r="H25" s="39">
        <v>-124</v>
      </c>
      <c r="J25">
        <v>237.88</v>
      </c>
      <c r="K25" s="38" t="s">
        <v>329</v>
      </c>
    </row>
    <row r="26" spans="1:11" x14ac:dyDescent="0.2">
      <c r="A26" s="41" t="s">
        <v>214</v>
      </c>
      <c r="B26">
        <v>0</v>
      </c>
      <c r="C26" s="4" t="s">
        <v>174</v>
      </c>
      <c r="E26" s="28">
        <f>monthlyStatus[[#This Row],[ Difference]]/SUM(B26:B43)</f>
        <v>0</v>
      </c>
      <c r="G26" s="39" t="s">
        <v>348</v>
      </c>
      <c r="H26" s="39">
        <v>-50</v>
      </c>
      <c r="J26">
        <v>185</v>
      </c>
      <c r="K26" s="37" t="s">
        <v>328</v>
      </c>
    </row>
    <row r="27" spans="1:11" x14ac:dyDescent="0.2">
      <c r="A27" s="41" t="s">
        <v>237</v>
      </c>
      <c r="B27">
        <v>0</v>
      </c>
      <c r="C27" s="4" t="s">
        <v>174</v>
      </c>
      <c r="E27" s="28">
        <f>monthlyStatus[[#This Row],[ Difference]]/SUM(B27:B44)</f>
        <v>0</v>
      </c>
      <c r="G27" s="39" t="s">
        <v>349</v>
      </c>
      <c r="H27" s="39">
        <v>-24.629999160766602</v>
      </c>
      <c r="J27">
        <v>162.83000000000001</v>
      </c>
      <c r="K27" s="37" t="s">
        <v>263</v>
      </c>
    </row>
    <row r="28" spans="1:11" x14ac:dyDescent="0.2">
      <c r="A28" s="41" t="s">
        <v>221</v>
      </c>
      <c r="B28">
        <v>184.93</v>
      </c>
      <c r="C28" s="4" t="s">
        <v>174</v>
      </c>
      <c r="E28" s="28">
        <f>monthlyStatus[[#This Row],[ Difference]]/SUM(B28:B45)</f>
        <v>0</v>
      </c>
      <c r="G28" s="39" t="s">
        <v>350</v>
      </c>
      <c r="H28" s="39">
        <v>-441.88000488281301</v>
      </c>
      <c r="J28">
        <v>147.11000000000001</v>
      </c>
      <c r="K28" s="38" t="s">
        <v>275</v>
      </c>
    </row>
    <row r="29" spans="1:11" x14ac:dyDescent="0.2">
      <c r="A29" s="41" t="s">
        <v>210</v>
      </c>
      <c r="B29">
        <v>3.95</v>
      </c>
      <c r="C29" s="4" t="s">
        <v>174</v>
      </c>
      <c r="E29" s="28">
        <f>monthlyStatus[[#This Row],[ Difference]]/SUM(B29:B46)</f>
        <v>0</v>
      </c>
      <c r="H29">
        <f>SUM(H23:H28)</f>
        <v>-677.96000313758907</v>
      </c>
      <c r="J29">
        <v>109.46</v>
      </c>
      <c r="K29" s="37" t="s">
        <v>340</v>
      </c>
    </row>
    <row r="30" spans="1:11" x14ac:dyDescent="0.2">
      <c r="A30" s="41" t="s">
        <v>174</v>
      </c>
      <c r="C30" s="4" t="s">
        <v>174</v>
      </c>
      <c r="E30" s="1"/>
      <c r="J30">
        <v>101.96</v>
      </c>
      <c r="K30" s="38" t="s">
        <v>341</v>
      </c>
    </row>
    <row r="31" spans="1:11" ht="80" x14ac:dyDescent="0.2">
      <c r="A31" s="41" t="s">
        <v>260</v>
      </c>
      <c r="C31" s="4" t="s">
        <v>174</v>
      </c>
      <c r="E31" s="1"/>
      <c r="G31" s="40" t="s">
        <v>352</v>
      </c>
      <c r="H31" s="4">
        <f>J12+ABS(H29)</f>
        <v>3070.5700031375891</v>
      </c>
      <c r="J31">
        <v>65.989999999999995</v>
      </c>
      <c r="K31" s="37" t="s">
        <v>264</v>
      </c>
    </row>
    <row r="32" spans="1:11" x14ac:dyDescent="0.2">
      <c r="J32">
        <v>52.21</v>
      </c>
      <c r="K32" s="38" t="s">
        <v>265</v>
      </c>
    </row>
    <row r="33" spans="7:11" x14ac:dyDescent="0.2">
      <c r="G33" t="s">
        <v>353</v>
      </c>
      <c r="H33">
        <f>J9-H31</f>
        <v>1376.5199968624102</v>
      </c>
      <c r="J33">
        <v>43.5</v>
      </c>
      <c r="K33" s="37" t="s">
        <v>266</v>
      </c>
    </row>
    <row r="34" spans="7:11" x14ac:dyDescent="0.2">
      <c r="J34">
        <v>40</v>
      </c>
      <c r="K34" s="38" t="s">
        <v>267</v>
      </c>
    </row>
    <row r="35" spans="7:11" x14ac:dyDescent="0.2">
      <c r="G35" t="s">
        <v>354</v>
      </c>
      <c r="J35">
        <v>20</v>
      </c>
      <c r="K35" s="37" t="s">
        <v>276</v>
      </c>
    </row>
    <row r="36" spans="7:11" x14ac:dyDescent="0.2">
      <c r="G36" t="s">
        <v>356</v>
      </c>
      <c r="H36">
        <v>81.98</v>
      </c>
      <c r="J36">
        <v>19.100000000000001</v>
      </c>
      <c r="K36" s="38" t="s">
        <v>268</v>
      </c>
    </row>
    <row r="37" spans="7:11" x14ac:dyDescent="0.2">
      <c r="G37" t="s">
        <v>355</v>
      </c>
      <c r="H37">
        <v>154.94</v>
      </c>
      <c r="J37">
        <v>13.84</v>
      </c>
      <c r="K37" s="37" t="s">
        <v>269</v>
      </c>
    </row>
    <row r="38" spans="7:11" x14ac:dyDescent="0.2">
      <c r="G38" t="s">
        <v>357</v>
      </c>
      <c r="H38">
        <v>42.83</v>
      </c>
      <c r="J38">
        <v>3</v>
      </c>
      <c r="K38" s="38" t="s">
        <v>270</v>
      </c>
    </row>
    <row r="39" spans="7:11" x14ac:dyDescent="0.2">
      <c r="G39" t="s">
        <v>64</v>
      </c>
      <c r="H39">
        <f>H33-SUM(H36:H38)</f>
        <v>1096.7699968624102</v>
      </c>
      <c r="J39">
        <v>1.1000000000000001</v>
      </c>
      <c r="K39" s="37" t="s">
        <v>277</v>
      </c>
    </row>
    <row r="40" spans="7:11" x14ac:dyDescent="0.2">
      <c r="J40">
        <f>SUM(J23:J39)</f>
        <v>2220.6699999999996</v>
      </c>
    </row>
  </sheetData>
  <conditionalFormatting sqref="D1:E1048576">
    <cfRule type="cellIs" dxfId="13" priority="1" operator="lessThan">
      <formula>-10</formula>
    </cfRule>
  </conditionalFormatting>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4DD78-4D22-DC49-9E3E-8B0C6E2C1F61}">
  <dimension ref="A1:B16"/>
  <sheetViews>
    <sheetView workbookViewId="0">
      <selection activeCell="B16" sqref="B1:B16"/>
    </sheetView>
  </sheetViews>
  <sheetFormatPr baseColWidth="10" defaultRowHeight="16" x14ac:dyDescent="0.2"/>
  <cols>
    <col min="1" max="1" width="10.83203125" style="41"/>
  </cols>
  <sheetData>
    <row r="1" spans="1:2" x14ac:dyDescent="0.2">
      <c r="A1" s="48" t="s">
        <v>403</v>
      </c>
      <c r="B1">
        <v>474.64</v>
      </c>
    </row>
    <row r="2" spans="1:2" x14ac:dyDescent="0.2">
      <c r="A2" s="51" t="s">
        <v>262</v>
      </c>
      <c r="B2">
        <v>441.88</v>
      </c>
    </row>
    <row r="3" spans="1:2" x14ac:dyDescent="0.2">
      <c r="A3" s="48" t="s">
        <v>404</v>
      </c>
      <c r="B3">
        <v>359.22</v>
      </c>
    </row>
    <row r="4" spans="1:2" x14ac:dyDescent="0.2">
      <c r="A4" s="51" t="s">
        <v>405</v>
      </c>
      <c r="B4">
        <v>300</v>
      </c>
    </row>
    <row r="5" spans="1:2" x14ac:dyDescent="0.2">
      <c r="A5" s="48" t="s">
        <v>431</v>
      </c>
      <c r="B5">
        <v>298.44</v>
      </c>
    </row>
    <row r="6" spans="1:2" x14ac:dyDescent="0.2">
      <c r="A6" s="51" t="s">
        <v>397</v>
      </c>
      <c r="B6">
        <v>150.94</v>
      </c>
    </row>
    <row r="7" spans="1:2" x14ac:dyDescent="0.2">
      <c r="A7" s="48" t="s">
        <v>398</v>
      </c>
      <c r="B7">
        <v>81.489999999999995</v>
      </c>
    </row>
    <row r="8" spans="1:2" x14ac:dyDescent="0.2">
      <c r="A8" s="51" t="s">
        <v>399</v>
      </c>
      <c r="B8">
        <v>74.790000000000006</v>
      </c>
    </row>
    <row r="9" spans="1:2" x14ac:dyDescent="0.2">
      <c r="A9" s="48" t="s">
        <v>358</v>
      </c>
      <c r="B9">
        <v>59.09</v>
      </c>
    </row>
    <row r="10" spans="1:2" x14ac:dyDescent="0.2">
      <c r="A10" s="51" t="s">
        <v>267</v>
      </c>
      <c r="B10">
        <v>40</v>
      </c>
    </row>
    <row r="11" spans="1:2" x14ac:dyDescent="0.2">
      <c r="A11" s="48" t="s">
        <v>267</v>
      </c>
      <c r="B11">
        <v>40</v>
      </c>
    </row>
    <row r="12" spans="1:2" x14ac:dyDescent="0.2">
      <c r="A12" s="51" t="s">
        <v>406</v>
      </c>
      <c r="B12">
        <v>37.17</v>
      </c>
    </row>
    <row r="13" spans="1:2" x14ac:dyDescent="0.2">
      <c r="A13" s="48" t="s">
        <v>400</v>
      </c>
      <c r="B13">
        <v>27</v>
      </c>
    </row>
    <row r="14" spans="1:2" x14ac:dyDescent="0.2">
      <c r="A14" s="51" t="s">
        <v>401</v>
      </c>
      <c r="B14">
        <v>5.59</v>
      </c>
    </row>
    <row r="15" spans="1:2" x14ac:dyDescent="0.2">
      <c r="A15" s="48" t="s">
        <v>359</v>
      </c>
      <c r="B15">
        <v>2.36</v>
      </c>
    </row>
    <row r="16" spans="1:2" x14ac:dyDescent="0.2">
      <c r="B16">
        <f>SUM(B1:B15)</f>
        <v>2392.6100000000006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5481D-B1D9-D34E-AD90-196B49FB3099}">
  <sheetPr>
    <tabColor theme="5" tint="0.59999389629810485"/>
  </sheetPr>
  <dimension ref="A1:H36"/>
  <sheetViews>
    <sheetView zoomScale="150" workbookViewId="0">
      <selection activeCell="B26" sqref="B26"/>
    </sheetView>
  </sheetViews>
  <sheetFormatPr baseColWidth="10" defaultRowHeight="16" x14ac:dyDescent="0.2"/>
  <cols>
    <col min="1" max="1" width="33.5" bestFit="1" customWidth="1"/>
    <col min="2" max="2" width="30.33203125" bestFit="1" customWidth="1"/>
    <col min="5" max="5" width="46.5" bestFit="1" customWidth="1"/>
    <col min="6" max="6" width="24" bestFit="1" customWidth="1"/>
    <col min="7" max="7" width="19.5" bestFit="1" customWidth="1"/>
    <col min="8" max="8" width="12.83203125" bestFit="1" customWidth="1"/>
    <col min="9" max="9" width="21.1640625" bestFit="1" customWidth="1"/>
  </cols>
  <sheetData>
    <row r="1" spans="1:8" x14ac:dyDescent="0.2">
      <c r="A1" t="str">
        <f>DollarsPerMonth!A1</f>
        <v>Column1</v>
      </c>
      <c r="B1" t="str">
        <f>DollarsPerMonth!B1</f>
        <v>Column2</v>
      </c>
      <c r="E1" t="str">
        <f>monthlyStatus!A1</f>
        <v>Category</v>
      </c>
      <c r="F1" t="str">
        <f>monthlyStatus!B1</f>
        <v xml:space="preserve"> Monthly Budgeted Amount</v>
      </c>
      <c r="G1" t="str">
        <f>monthlyStatus!C1</f>
        <v xml:space="preserve"> Actual Amount Spent</v>
      </c>
      <c r="H1" t="str">
        <f>monthlyStatus!D1</f>
        <v xml:space="preserve"> Difference</v>
      </c>
    </row>
    <row r="2" spans="1:8" x14ac:dyDescent="0.2">
      <c r="A2" t="str">
        <f>DollarsPerMonth!A2</f>
        <v>2025-01-01</v>
      </c>
      <c r="B2" t="str">
        <f>DollarsPerMonth!B2</f>
        <v xml:space="preserve">  Title: Monthly (dollars per Month)</v>
      </c>
      <c r="E2" t="str">
        <f>monthlyStatus!A2</f>
        <v>AUTOMAINTENANCE</v>
      </c>
      <c r="F2">
        <f>monthlyStatus!B2</f>
        <v>25</v>
      </c>
      <c r="G2" t="str">
        <f>monthlyStatus!C2</f>
        <v>-474.6400146484375</v>
      </c>
      <c r="H2">
        <f>monthlyStatus!D2</f>
        <v>-449.6400146484375</v>
      </c>
    </row>
    <row r="3" spans="1:8" x14ac:dyDescent="0.2">
      <c r="A3" t="str">
        <f>DollarsPerMonth!A3</f>
        <v>AUTO FINANCE</v>
      </c>
      <c r="B3" t="str">
        <f>DollarsPerMonth!B3</f>
        <v>883.91</v>
      </c>
      <c r="C3" t="str">
        <f>_xlfn.XLOOKUP(A3,E2:E18,G2:G18,0,0)</f>
        <v>-441.8800048828125</v>
      </c>
      <c r="E3" t="str">
        <f>monthlyStatus!A3</f>
        <v>AUTO FINANCE</v>
      </c>
      <c r="F3">
        <f>monthlyStatus!B3</f>
        <v>883.91</v>
      </c>
      <c r="G3" t="str">
        <f>monthlyStatus!C3</f>
        <v>-441.8800048828125</v>
      </c>
      <c r="H3">
        <f>monthlyStatus!D3</f>
        <v>442.02999511718747</v>
      </c>
    </row>
    <row r="4" spans="1:8" x14ac:dyDescent="0.2">
      <c r="A4" t="str">
        <f>DollarsPerMonth!A4</f>
        <v>AUTOINSURANCE</v>
      </c>
      <c r="B4" t="str">
        <f>DollarsPerMonth!B4</f>
        <v>162.73</v>
      </c>
      <c r="C4">
        <f t="shared" ref="C4:C26" si="0">_xlfn.XLOOKUP(A4,E3:E19,G3:G19,0,0)</f>
        <v>0</v>
      </c>
      <c r="E4" t="str">
        <f>monthlyStatus!A4</f>
        <v>MEDICAL/DENTAL/VISION INSURANCE</v>
      </c>
      <c r="F4">
        <f>monthlyStatus!B4</f>
        <v>13.84</v>
      </c>
      <c r="G4" t="str">
        <f>monthlyStatus!C4</f>
        <v>-359.2200012207031</v>
      </c>
      <c r="H4">
        <f>monthlyStatus!D4</f>
        <v>-345.38000122070315</v>
      </c>
    </row>
    <row r="5" spans="1:8" x14ac:dyDescent="0.2">
      <c r="A5" t="str">
        <f>DollarsPerMonth!A5</f>
        <v>AUTOMAINTENANCE</v>
      </c>
      <c r="B5" t="str">
        <f>DollarsPerMonth!B5</f>
        <v>25.00</v>
      </c>
      <c r="C5">
        <f t="shared" si="0"/>
        <v>0</v>
      </c>
      <c r="E5" t="str">
        <f>monthlyStatus!A5</f>
        <v>HOUSEHOLD</v>
      </c>
      <c r="F5">
        <f>monthlyStatus!B5</f>
        <v>302.95</v>
      </c>
      <c r="G5" t="str">
        <f>monthlyStatus!C5</f>
        <v>-300.0</v>
      </c>
      <c r="H5">
        <f>monthlyStatus!D5</f>
        <v>2.9499999999999886</v>
      </c>
    </row>
    <row r="6" spans="1:8" x14ac:dyDescent="0.2">
      <c r="A6" t="str">
        <f>DollarsPerMonth!A6</f>
        <v>BANK/CARDFEES</v>
      </c>
      <c r="B6" t="str">
        <f>DollarsPerMonth!B6</f>
        <v>0.00</v>
      </c>
      <c r="C6">
        <f t="shared" si="0"/>
        <v>0</v>
      </c>
      <c r="E6" t="str">
        <f>monthlyStatus!A6</f>
        <v>FOOD/GROCERIES</v>
      </c>
      <c r="F6">
        <f>monthlyStatus!B6</f>
        <v>518.29999999999995</v>
      </c>
      <c r="G6" t="str">
        <f>monthlyStatus!C6</f>
        <v>-298.44000244140625</v>
      </c>
      <c r="H6">
        <f>monthlyStatus!D6</f>
        <v>219.8599975585937</v>
      </c>
    </row>
    <row r="7" spans="1:8" x14ac:dyDescent="0.2">
      <c r="A7" t="str">
        <f>DollarsPerMonth!A7</f>
        <v>BOOKS/EDUCATION</v>
      </c>
      <c r="B7" t="str">
        <f>DollarsPerMonth!B7</f>
        <v>0.00</v>
      </c>
      <c r="C7">
        <f t="shared" si="0"/>
        <v>0</v>
      </c>
      <c r="E7" t="str">
        <f>monthlyStatus!A7</f>
        <v>GAS</v>
      </c>
      <c r="F7">
        <f>monthlyStatus!B7</f>
        <v>1071.28</v>
      </c>
      <c r="G7" t="str">
        <f>monthlyStatus!C7</f>
        <v>-150.94000244140625</v>
      </c>
      <c r="H7">
        <f>monthlyStatus!D7</f>
        <v>920.33999755859372</v>
      </c>
    </row>
    <row r="8" spans="1:8" x14ac:dyDescent="0.2">
      <c r="A8" t="str">
        <f>DollarsPerMonth!A8</f>
        <v>CHARITABLECONTRIBUTIONS</v>
      </c>
      <c r="B8" t="str">
        <f>DollarsPerMonth!B8</f>
        <v>0.00</v>
      </c>
      <c r="C8" t="str">
        <f t="shared" si="0"/>
        <v/>
      </c>
      <c r="E8" t="str">
        <f>monthlyStatus!A8</f>
        <v>INTERNET SERVICE</v>
      </c>
      <c r="F8">
        <f>monthlyStatus!B8</f>
        <v>87.9</v>
      </c>
      <c r="G8" t="str">
        <f>monthlyStatus!C8</f>
        <v>-81.48999786376953</v>
      </c>
      <c r="H8">
        <f>monthlyStatus!D8</f>
        <v>6.4100021362304744</v>
      </c>
    </row>
    <row r="9" spans="1:8" x14ac:dyDescent="0.2">
      <c r="A9" t="str">
        <f>DollarsPerMonth!A9</f>
        <v>COMPUTERSOFTWARE/HARDWARE</v>
      </c>
      <c r="B9" t="str">
        <f>DollarsPerMonth!B9</f>
        <v>0.00</v>
      </c>
      <c r="C9" t="str">
        <f t="shared" si="0"/>
        <v>-2.359999895095825</v>
      </c>
      <c r="E9" t="str">
        <f>monthlyStatus!A9</f>
        <v>UTILITIES : ELECTRICITY</v>
      </c>
      <c r="F9">
        <f>monthlyStatus!B9</f>
        <v>69.349999999999994</v>
      </c>
      <c r="G9" t="str">
        <f>monthlyStatus!C9</f>
        <v>-74.79000091552734</v>
      </c>
      <c r="H9">
        <f>monthlyStatus!D9</f>
        <v>-5.4400009155273494</v>
      </c>
    </row>
    <row r="10" spans="1:8" x14ac:dyDescent="0.2">
      <c r="A10" t="str">
        <f>DollarsPerMonth!A10</f>
        <v>DININGOUT</v>
      </c>
      <c r="B10" t="str">
        <f>DollarsPerMonth!B10</f>
        <v>40.00</v>
      </c>
      <c r="C10" t="str">
        <f t="shared" si="0"/>
        <v>-37.16999816894531</v>
      </c>
      <c r="E10" t="str">
        <f>monthlyStatus!A10</f>
        <v>PETCARE</v>
      </c>
      <c r="F10">
        <f>monthlyStatus!B10</f>
        <v>76.650000000000006</v>
      </c>
      <c r="G10" t="str">
        <f>monthlyStatus!C10</f>
        <v>-59.09000015258789</v>
      </c>
      <c r="H10">
        <f>monthlyStatus!D10</f>
        <v>17.559999847412115</v>
      </c>
    </row>
    <row r="11" spans="1:8" x14ac:dyDescent="0.2">
      <c r="A11" t="str">
        <f>DollarsPerMonth!A11</f>
        <v>DOCTOR/HOSPITAL</v>
      </c>
      <c r="B11" t="str">
        <f>DollarsPerMonth!B11</f>
        <v>661.26</v>
      </c>
      <c r="C11" t="str">
        <f t="shared" si="0"/>
        <v>-40.0</v>
      </c>
      <c r="E11" t="str">
        <f>monthlyStatus!A11</f>
        <v>DOCTOR/HOSPITAL</v>
      </c>
      <c r="F11">
        <f>monthlyStatus!B11</f>
        <v>661.26</v>
      </c>
      <c r="G11" t="str">
        <f>monthlyStatus!C11</f>
        <v>-40.0</v>
      </c>
      <c r="H11">
        <f>monthlyStatus!D11</f>
        <v>621.26</v>
      </c>
    </row>
    <row r="12" spans="1:8" x14ac:dyDescent="0.2">
      <c r="A12" t="str">
        <f>DollarsPerMonth!A12</f>
        <v>FOOD/GROCERIES</v>
      </c>
      <c r="B12" t="str">
        <f>DollarsPerMonth!B12</f>
        <v>518.30</v>
      </c>
      <c r="C12">
        <f t="shared" si="0"/>
        <v>0</v>
      </c>
      <c r="E12" t="str">
        <f>monthlyStatus!A12</f>
        <v>LEGAL/DEBT</v>
      </c>
      <c r="F12">
        <f>monthlyStatus!B12</f>
        <v>40</v>
      </c>
      <c r="G12" t="str">
        <f>monthlyStatus!C12</f>
        <v>-40.0</v>
      </c>
      <c r="H12">
        <f>monthlyStatus!D12</f>
        <v>0</v>
      </c>
    </row>
    <row r="13" spans="1:8" x14ac:dyDescent="0.2">
      <c r="A13" t="str">
        <f>DollarsPerMonth!A13</f>
        <v>GAS</v>
      </c>
      <c r="B13" t="str">
        <f>DollarsPerMonth!B13</f>
        <v>1071.28</v>
      </c>
      <c r="C13">
        <f t="shared" si="0"/>
        <v>0</v>
      </c>
      <c r="E13" t="str">
        <f>monthlyStatus!A13</f>
        <v>DININGOUT</v>
      </c>
      <c r="F13">
        <f>monthlyStatus!B13</f>
        <v>40</v>
      </c>
      <c r="G13" t="str">
        <f>monthlyStatus!C13</f>
        <v>-37.16999816894531</v>
      </c>
      <c r="H13">
        <f>monthlyStatus!D13</f>
        <v>2.8300018310546875</v>
      </c>
    </row>
    <row r="14" spans="1:8" x14ac:dyDescent="0.2">
      <c r="A14" t="str">
        <f>DollarsPerMonth!A14</f>
        <v>GIFTS/DONATIONS</v>
      </c>
      <c r="B14" t="str">
        <f>DollarsPerMonth!B14</f>
        <v>21.90</v>
      </c>
      <c r="C14" t="str">
        <f t="shared" si="0"/>
        <v/>
      </c>
      <c r="E14" t="str">
        <f>monthlyStatus!A14</f>
        <v>MISCELLANEOUS</v>
      </c>
      <c r="F14">
        <f>monthlyStatus!B14</f>
        <v>30</v>
      </c>
      <c r="G14" t="str">
        <f>monthlyStatus!C14</f>
        <v>-27.0</v>
      </c>
      <c r="H14">
        <f>monthlyStatus!D14</f>
        <v>3</v>
      </c>
    </row>
    <row r="15" spans="1:8" x14ac:dyDescent="0.2">
      <c r="A15" t="str">
        <f>DollarsPerMonth!A15</f>
        <v>HEALTHINSURANCE</v>
      </c>
      <c r="B15" t="str">
        <f>DollarsPerMonth!B15</f>
        <v>19.16</v>
      </c>
      <c r="C15" t="str">
        <f t="shared" si="0"/>
        <v>-5.590000152587891</v>
      </c>
      <c r="E15" t="str">
        <f>monthlyStatus!A15</f>
        <v>HEALTHINSURANCE</v>
      </c>
      <c r="F15">
        <f>monthlyStatus!B15</f>
        <v>19.16</v>
      </c>
      <c r="G15" t="str">
        <f>monthlyStatus!C15</f>
        <v>-5.590000152587891</v>
      </c>
      <c r="H15">
        <f>monthlyStatus!D15</f>
        <v>13.56999984741211</v>
      </c>
    </row>
    <row r="16" spans="1:8" x14ac:dyDescent="0.2">
      <c r="A16" t="str">
        <f>DollarsPerMonth!A16</f>
        <v>HOUSEHOLD</v>
      </c>
      <c r="B16" t="str">
        <f>DollarsPerMonth!B16</f>
        <v>302.95</v>
      </c>
      <c r="C16">
        <f t="shared" si="0"/>
        <v>0</v>
      </c>
      <c r="E16" t="str">
        <f>monthlyStatus!A16</f>
        <v>COMPUTERSOFTWARE/HARDWARE</v>
      </c>
      <c r="F16">
        <f>monthlyStatus!B16</f>
        <v>0</v>
      </c>
      <c r="G16" t="str">
        <f>monthlyStatus!C16</f>
        <v>-2.359999895095825</v>
      </c>
      <c r="H16">
        <f>monthlyStatus!D16</f>
        <v>-2.3599998950958252</v>
      </c>
    </row>
    <row r="17" spans="1:8" x14ac:dyDescent="0.2">
      <c r="A17" t="str">
        <f>DollarsPerMonth!A17</f>
        <v>INTERNET SERVICE</v>
      </c>
      <c r="B17" t="str">
        <f>DollarsPerMonth!B17</f>
        <v>87.90</v>
      </c>
      <c r="C17">
        <f t="shared" si="0"/>
        <v>0</v>
      </c>
      <c r="E17" t="str">
        <f>monthlyStatus!A17</f>
        <v>CASH</v>
      </c>
      <c r="F17">
        <f>monthlyStatus!B17</f>
        <v>40</v>
      </c>
      <c r="G17" t="str">
        <f>monthlyStatus!C17</f>
        <v>3.5</v>
      </c>
      <c r="H17">
        <f>monthlyStatus!D17</f>
        <v>36.5</v>
      </c>
    </row>
    <row r="18" spans="1:8" x14ac:dyDescent="0.2">
      <c r="A18" t="str">
        <f>DollarsPerMonth!A18</f>
        <v>MEDICAL/DENTAL/VISION INSURANCE</v>
      </c>
      <c r="B18" t="str">
        <f>DollarsPerMonth!B18</f>
        <v>13.84</v>
      </c>
      <c r="C18">
        <f t="shared" si="0"/>
        <v>0</v>
      </c>
      <c r="E18" t="str">
        <f>monthlyStatus!A18</f>
        <v/>
      </c>
      <c r="F18">
        <f>monthlyStatus!B18</f>
        <v>0</v>
      </c>
      <c r="G18" t="str">
        <f>monthlyStatus!C18</f>
        <v/>
      </c>
      <c r="H18">
        <f>monthlyStatus!D18</f>
        <v>0</v>
      </c>
    </row>
    <row r="19" spans="1:8" x14ac:dyDescent="0.2">
      <c r="A19" t="str">
        <f>DollarsPerMonth!A19</f>
        <v>MEDICAL/DENTAL/VISION</v>
      </c>
      <c r="B19" t="str">
        <f>DollarsPerMonth!B19</f>
        <v>184.93</v>
      </c>
      <c r="C19" t="str">
        <f t="shared" si="0"/>
        <v/>
      </c>
      <c r="E19" t="str">
        <f>monthlyStatus!A19</f>
        <v>Categories that nothing was spent in:</v>
      </c>
    </row>
    <row r="20" spans="1:8" x14ac:dyDescent="0.2">
      <c r="A20" t="str">
        <f>DollarsPerMonth!A20</f>
        <v>NEWSPAPER/MAGAZINES</v>
      </c>
      <c r="B20" t="str">
        <f>DollarsPerMonth!B20</f>
        <v>3.95</v>
      </c>
      <c r="C20" t="str">
        <f t="shared" si="0"/>
        <v/>
      </c>
      <c r="E20" t="str">
        <f>monthlyStatus!A20</f>
        <v>GIFTS/DONATIONS</v>
      </c>
      <c r="F20">
        <f>monthlyStatus!B20</f>
        <v>21.9</v>
      </c>
      <c r="G20" t="str">
        <f>monthlyStatus!C20</f>
        <v/>
      </c>
      <c r="H20">
        <f>monthlyStatus!D20</f>
        <v>0</v>
      </c>
    </row>
    <row r="21" spans="1:8" x14ac:dyDescent="0.2">
      <c r="A21" t="str">
        <f>DollarsPerMonth!A21</f>
        <v>PETCARE</v>
      </c>
      <c r="B21" t="str">
        <f>DollarsPerMonth!B21</f>
        <v>76.65</v>
      </c>
      <c r="C21">
        <f t="shared" si="0"/>
        <v>0</v>
      </c>
      <c r="E21" t="str">
        <f>monthlyStatus!A21</f>
        <v>UTILITIES : INTERNET</v>
      </c>
      <c r="F21">
        <f>monthlyStatus!B21</f>
        <v>173.98</v>
      </c>
      <c r="G21" t="str">
        <f>monthlyStatus!C21</f>
        <v/>
      </c>
      <c r="H21">
        <f>monthlyStatus!D21</f>
        <v>0</v>
      </c>
    </row>
    <row r="22" spans="1:8" x14ac:dyDescent="0.2">
      <c r="A22" t="str">
        <f>DollarsPerMonth!A22</f>
        <v>TITHE</v>
      </c>
      <c r="B22" t="str">
        <f>DollarsPerMonth!B22</f>
        <v>0.00</v>
      </c>
      <c r="C22">
        <f t="shared" si="0"/>
        <v>0</v>
      </c>
      <c r="E22" t="str">
        <f>monthlyStatus!A22</f>
        <v>CHARITABLECONTRIBUTIONS</v>
      </c>
      <c r="F22">
        <f>monthlyStatus!B22</f>
        <v>0</v>
      </c>
      <c r="G22" t="str">
        <f>monthlyStatus!C22</f>
        <v/>
      </c>
      <c r="H22">
        <f>monthlyStatus!D22</f>
        <v>0</v>
      </c>
    </row>
    <row r="23" spans="1:8" x14ac:dyDescent="0.2">
      <c r="A23" t="str">
        <f>DollarsPerMonth!A23</f>
        <v>TRAVEL</v>
      </c>
      <c r="B23" t="str">
        <f>DollarsPerMonth!B23</f>
        <v>0.00</v>
      </c>
      <c r="C23" t="str">
        <f t="shared" si="0"/>
        <v/>
      </c>
      <c r="E23" t="str">
        <f>monthlyStatus!A23</f>
        <v>AUTOINSURANCE</v>
      </c>
      <c r="F23">
        <f>monthlyStatus!B23</f>
        <v>162.72999999999999</v>
      </c>
      <c r="G23" t="str">
        <f>monthlyStatus!C23</f>
        <v/>
      </c>
      <c r="H23">
        <f>monthlyStatus!D23</f>
        <v>0</v>
      </c>
    </row>
    <row r="24" spans="1:8" x14ac:dyDescent="0.2">
      <c r="A24" t="str">
        <f>DollarsPerMonth!A24</f>
        <v>UTILITIES : ELECTRICITY</v>
      </c>
      <c r="B24" t="str">
        <f>DollarsPerMonth!B24</f>
        <v>69.35</v>
      </c>
      <c r="C24">
        <f t="shared" si="0"/>
        <v>0</v>
      </c>
      <c r="E24" t="str">
        <f>monthlyStatus!A24</f>
        <v>VACATION/TRAVEL</v>
      </c>
      <c r="F24">
        <f>monthlyStatus!B24</f>
        <v>20</v>
      </c>
      <c r="G24" t="str">
        <f>monthlyStatus!C24</f>
        <v/>
      </c>
      <c r="H24">
        <f>monthlyStatus!D24</f>
        <v>0</v>
      </c>
    </row>
    <row r="25" spans="1:8" x14ac:dyDescent="0.2">
      <c r="A25" t="str">
        <f>DollarsPerMonth!A25</f>
        <v>UTILITIES : INTERNET</v>
      </c>
      <c r="B25" t="str">
        <f>DollarsPerMonth!B25</f>
        <v>173.98</v>
      </c>
      <c r="C25">
        <f t="shared" si="0"/>
        <v>0</v>
      </c>
      <c r="E25" t="str">
        <f>monthlyStatus!A25</f>
        <v>BOOKS/EDUCATION</v>
      </c>
      <c r="F25">
        <f>monthlyStatus!B25</f>
        <v>0</v>
      </c>
      <c r="G25" t="str">
        <f>monthlyStatus!C25</f>
        <v/>
      </c>
      <c r="H25">
        <f>monthlyStatus!D25</f>
        <v>0</v>
      </c>
    </row>
    <row r="26" spans="1:8" x14ac:dyDescent="0.2">
      <c r="A26" t="str">
        <f>DollarsPerMonth!A29</f>
        <v>MISCELLANEOUS</v>
      </c>
      <c r="B26" t="str">
        <f>DollarsPerMonth!B29</f>
        <v>30.00</v>
      </c>
      <c r="C26">
        <f t="shared" si="0"/>
        <v>0</v>
      </c>
      <c r="E26" t="str">
        <f>monthlyStatus!A26</f>
        <v>TRAVEL</v>
      </c>
      <c r="F26">
        <f>monthlyStatus!B26</f>
        <v>0</v>
      </c>
      <c r="G26" t="str">
        <f>monthlyStatus!C26</f>
        <v/>
      </c>
      <c r="H26">
        <f>monthlyStatus!D26</f>
        <v>0</v>
      </c>
    </row>
    <row r="27" spans="1:8" x14ac:dyDescent="0.2">
      <c r="E27" t="str">
        <f>monthlyStatus!A27</f>
        <v>BANK/CARDFEES</v>
      </c>
      <c r="F27">
        <f>monthlyStatus!B27</f>
        <v>0</v>
      </c>
      <c r="G27" t="str">
        <f>monthlyStatus!C27</f>
        <v/>
      </c>
      <c r="H27">
        <f>monthlyStatus!D27</f>
        <v>0</v>
      </c>
    </row>
    <row r="28" spans="1:8" x14ac:dyDescent="0.2">
      <c r="E28" t="str">
        <f>monthlyStatus!A28</f>
        <v>MEDICAL/DENTAL/VISION</v>
      </c>
      <c r="F28">
        <f>monthlyStatus!B28</f>
        <v>184.93</v>
      </c>
      <c r="G28" t="str">
        <f>monthlyStatus!C28</f>
        <v/>
      </c>
      <c r="H28">
        <f>monthlyStatus!D28</f>
        <v>0</v>
      </c>
    </row>
    <row r="29" spans="1:8" x14ac:dyDescent="0.2">
      <c r="E29" t="str">
        <f>monthlyStatus!A29</f>
        <v>NEWSPAPER/MAGAZINES</v>
      </c>
      <c r="F29">
        <f>monthlyStatus!B29</f>
        <v>3.95</v>
      </c>
      <c r="G29" t="str">
        <f>monthlyStatus!C29</f>
        <v/>
      </c>
      <c r="H29">
        <f>monthlyStatus!D29</f>
        <v>0</v>
      </c>
    </row>
    <row r="30" spans="1:8" x14ac:dyDescent="0.2">
      <c r="E30" t="e">
        <f>monthlyStatus!#REF!</f>
        <v>#REF!</v>
      </c>
      <c r="F30" t="e">
        <f>monthlyStatus!#REF!</f>
        <v>#REF!</v>
      </c>
      <c r="G30" t="e">
        <f>monthlyStatus!#REF!</f>
        <v>#REF!</v>
      </c>
      <c r="H30" t="e">
        <f>monthlyStatus!#REF!</f>
        <v>#REF!</v>
      </c>
    </row>
    <row r="31" spans="1:8" x14ac:dyDescent="0.2">
      <c r="E31" t="e">
        <f>monthlyStatus!#REF!</f>
        <v>#REF!</v>
      </c>
    </row>
    <row r="32" spans="1:8" x14ac:dyDescent="0.2">
      <c r="E32" t="e">
        <f>monthlyStatus!#REF!</f>
        <v>#REF!</v>
      </c>
      <c r="F32" t="e">
        <f>monthlyStatus!#REF!</f>
        <v>#REF!</v>
      </c>
      <c r="G32" t="e">
        <f>monthlyStatus!#REF!</f>
        <v>#REF!</v>
      </c>
      <c r="H32" t="e">
        <f>monthlyStatus!#REF!</f>
        <v>#REF!</v>
      </c>
    </row>
    <row r="33" spans="5:8" x14ac:dyDescent="0.2">
      <c r="E33" t="e">
        <f>monthlyStatus!#REF!</f>
        <v>#REF!</v>
      </c>
      <c r="F33" t="e">
        <f>monthlyStatus!#REF!</f>
        <v>#REF!</v>
      </c>
      <c r="G33" t="e">
        <f>monthlyStatus!#REF!</f>
        <v>#REF!</v>
      </c>
      <c r="H33" t="e">
        <f>monthlyStatus!#REF!</f>
        <v>#REF!</v>
      </c>
    </row>
    <row r="34" spans="5:8" x14ac:dyDescent="0.2">
      <c r="E34" t="e">
        <f>monthlyStatus!#REF!</f>
        <v>#REF!</v>
      </c>
      <c r="F34" t="e">
        <f>monthlyStatus!#REF!</f>
        <v>#REF!</v>
      </c>
      <c r="G34" t="e">
        <f>monthlyStatus!#REF!</f>
        <v>#REF!</v>
      </c>
      <c r="H34" t="e">
        <f>monthlyStatus!#REF!</f>
        <v>#REF!</v>
      </c>
    </row>
    <row r="35" spans="5:8" x14ac:dyDescent="0.2">
      <c r="E35" t="e">
        <f>monthlyStatus!#REF!</f>
        <v>#REF!</v>
      </c>
      <c r="F35" t="e">
        <f>monthlyStatus!#REF!</f>
        <v>#REF!</v>
      </c>
      <c r="G35" t="e">
        <f>monthlyStatus!#REF!</f>
        <v>#REF!</v>
      </c>
      <c r="H35" t="e">
        <f>monthlyStatus!#REF!</f>
        <v>#REF!</v>
      </c>
    </row>
    <row r="36" spans="5:8" x14ac:dyDescent="0.2">
      <c r="E36" t="str">
        <f>monthlyStatus!A31</f>
        <v>Spent amounts in categories that aren't in the budget:</v>
      </c>
      <c r="F36">
        <f>monthlyStatus!B31</f>
        <v>0</v>
      </c>
      <c r="G36" t="str">
        <f>monthlyStatus!C31</f>
        <v/>
      </c>
      <c r="H36">
        <f>monthlyStatus!D31</f>
        <v>0</v>
      </c>
    </row>
  </sheetData>
  <conditionalFormatting sqref="H2:H36">
    <cfRule type="cellIs" dxfId="12" priority="1" operator="greaterThan">
      <formula>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B11F6-21AC-154C-9812-19FF94194342}">
  <dimension ref="A1:B29"/>
  <sheetViews>
    <sheetView workbookViewId="0">
      <selection activeCell="H39" sqref="H39"/>
    </sheetView>
  </sheetViews>
  <sheetFormatPr baseColWidth="10" defaultRowHeight="16" x14ac:dyDescent="0.2"/>
  <cols>
    <col min="1" max="1" width="33.5" bestFit="1" customWidth="1"/>
    <col min="2" max="2" width="25.6640625" bestFit="1" customWidth="1"/>
  </cols>
  <sheetData>
    <row r="1" spans="1:2" x14ac:dyDescent="0.2">
      <c r="A1" t="s">
        <v>167</v>
      </c>
      <c r="B1" t="s">
        <v>168</v>
      </c>
    </row>
    <row r="2" spans="1:2" x14ac:dyDescent="0.2">
      <c r="A2" s="41" t="s">
        <v>178</v>
      </c>
      <c r="B2" s="41" t="s">
        <v>322</v>
      </c>
    </row>
    <row r="3" spans="1:2" x14ac:dyDescent="0.2">
      <c r="A3" s="41" t="s">
        <v>217</v>
      </c>
      <c r="B3" s="41" t="s">
        <v>305</v>
      </c>
    </row>
    <row r="4" spans="1:2" x14ac:dyDescent="0.2">
      <c r="A4" s="41" t="s">
        <v>215</v>
      </c>
      <c r="B4" s="41" t="s">
        <v>306</v>
      </c>
    </row>
    <row r="5" spans="1:2" x14ac:dyDescent="0.2">
      <c r="A5" s="41" t="s">
        <v>223</v>
      </c>
      <c r="B5" s="41" t="s">
        <v>307</v>
      </c>
    </row>
    <row r="6" spans="1:2" x14ac:dyDescent="0.2">
      <c r="A6" s="41" t="s">
        <v>237</v>
      </c>
      <c r="B6" s="41" t="s">
        <v>236</v>
      </c>
    </row>
    <row r="7" spans="1:2" x14ac:dyDescent="0.2">
      <c r="A7" s="41" t="s">
        <v>208</v>
      </c>
      <c r="B7" s="41" t="s">
        <v>236</v>
      </c>
    </row>
    <row r="8" spans="1:2" x14ac:dyDescent="0.2">
      <c r="A8" s="41" t="s">
        <v>126</v>
      </c>
      <c r="B8" s="41" t="s">
        <v>308</v>
      </c>
    </row>
    <row r="9" spans="1:2" x14ac:dyDescent="0.2">
      <c r="A9" s="41" t="s">
        <v>207</v>
      </c>
      <c r="B9" s="41" t="s">
        <v>236</v>
      </c>
    </row>
    <row r="10" spans="1:2" x14ac:dyDescent="0.2">
      <c r="A10" s="41" t="s">
        <v>238</v>
      </c>
      <c r="B10" s="41" t="s">
        <v>236</v>
      </c>
    </row>
    <row r="11" spans="1:2" x14ac:dyDescent="0.2">
      <c r="A11" s="41" t="s">
        <v>226</v>
      </c>
      <c r="B11" s="41" t="s">
        <v>308</v>
      </c>
    </row>
    <row r="12" spans="1:2" x14ac:dyDescent="0.2">
      <c r="A12" s="41" t="s">
        <v>235</v>
      </c>
      <c r="B12" s="41" t="s">
        <v>309</v>
      </c>
    </row>
    <row r="13" spans="1:2" x14ac:dyDescent="0.2">
      <c r="A13" s="41" t="s">
        <v>205</v>
      </c>
      <c r="B13" s="41" t="s">
        <v>310</v>
      </c>
    </row>
    <row r="14" spans="1:2" x14ac:dyDescent="0.2">
      <c r="A14" s="41" t="s">
        <v>206</v>
      </c>
      <c r="B14" s="41" t="s">
        <v>311</v>
      </c>
    </row>
    <row r="15" spans="1:2" x14ac:dyDescent="0.2">
      <c r="A15" s="41" t="s">
        <v>229</v>
      </c>
      <c r="B15" s="41" t="s">
        <v>312</v>
      </c>
    </row>
    <row r="16" spans="1:2" x14ac:dyDescent="0.2">
      <c r="A16" s="41" t="s">
        <v>232</v>
      </c>
      <c r="B16" s="41" t="s">
        <v>313</v>
      </c>
    </row>
    <row r="17" spans="1:2" x14ac:dyDescent="0.2">
      <c r="A17" s="41" t="s">
        <v>216</v>
      </c>
      <c r="B17" s="41" t="s">
        <v>314</v>
      </c>
    </row>
    <row r="18" spans="1:2" x14ac:dyDescent="0.2">
      <c r="A18" s="41" t="s">
        <v>211</v>
      </c>
      <c r="B18" s="41" t="s">
        <v>315</v>
      </c>
    </row>
    <row r="19" spans="1:2" x14ac:dyDescent="0.2">
      <c r="A19" s="41" t="s">
        <v>225</v>
      </c>
      <c r="B19" s="41" t="s">
        <v>308</v>
      </c>
    </row>
    <row r="20" spans="1:2" x14ac:dyDescent="0.2">
      <c r="A20" s="41" t="s">
        <v>218</v>
      </c>
      <c r="B20" s="41" t="s">
        <v>287</v>
      </c>
    </row>
    <row r="21" spans="1:2" x14ac:dyDescent="0.2">
      <c r="A21" s="41" t="s">
        <v>221</v>
      </c>
      <c r="B21" s="41" t="s">
        <v>316</v>
      </c>
    </row>
    <row r="22" spans="1:2" x14ac:dyDescent="0.2">
      <c r="A22" s="41" t="s">
        <v>396</v>
      </c>
      <c r="B22" s="41" t="s">
        <v>408</v>
      </c>
    </row>
    <row r="23" spans="1:2" x14ac:dyDescent="0.2">
      <c r="A23" s="41" t="s">
        <v>210</v>
      </c>
      <c r="B23" s="41" t="s">
        <v>317</v>
      </c>
    </row>
    <row r="24" spans="1:2" x14ac:dyDescent="0.2">
      <c r="A24" s="41" t="s">
        <v>219</v>
      </c>
      <c r="B24" s="41" t="s">
        <v>318</v>
      </c>
    </row>
    <row r="25" spans="1:2" x14ac:dyDescent="0.2">
      <c r="A25" s="41" t="s">
        <v>239</v>
      </c>
      <c r="B25" s="41" t="s">
        <v>236</v>
      </c>
    </row>
    <row r="26" spans="1:2" x14ac:dyDescent="0.2">
      <c r="A26" s="41" t="s">
        <v>214</v>
      </c>
      <c r="B26" s="41" t="s">
        <v>236</v>
      </c>
    </row>
    <row r="27" spans="1:2" x14ac:dyDescent="0.2">
      <c r="A27" s="41" t="s">
        <v>233</v>
      </c>
      <c r="B27" s="41" t="s">
        <v>319</v>
      </c>
    </row>
    <row r="28" spans="1:2" x14ac:dyDescent="0.2">
      <c r="A28" s="41" t="s">
        <v>230</v>
      </c>
      <c r="B28" s="41" t="s">
        <v>320</v>
      </c>
    </row>
    <row r="29" spans="1:2" x14ac:dyDescent="0.2">
      <c r="A29" s="41" t="s">
        <v>222</v>
      </c>
      <c r="B29" s="41" t="s">
        <v>321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22D51-CB8E-D445-9000-7BD6744577B5}">
  <dimension ref="A1:P25"/>
  <sheetViews>
    <sheetView zoomScale="134" workbookViewId="0">
      <selection activeCell="F12" sqref="F12"/>
    </sheetView>
  </sheetViews>
  <sheetFormatPr baseColWidth="10" defaultRowHeight="16" x14ac:dyDescent="0.2"/>
  <cols>
    <col min="1" max="1" width="28.5" bestFit="1" customWidth="1"/>
    <col min="2" max="2" width="6.1640625" bestFit="1" customWidth="1"/>
    <col min="3" max="3" width="20.1640625" bestFit="1" customWidth="1"/>
    <col min="4" max="4" width="14.5" bestFit="1" customWidth="1"/>
    <col min="5" max="5" width="13.33203125" bestFit="1" customWidth="1"/>
    <col min="6" max="6" width="25.83203125" bestFit="1" customWidth="1"/>
  </cols>
  <sheetData>
    <row r="1" spans="1:16" x14ac:dyDescent="0.2">
      <c r="A1" s="3"/>
      <c r="C1" t="s">
        <v>177</v>
      </c>
      <c r="D1" t="s">
        <v>253</v>
      </c>
      <c r="E1" t="s">
        <v>176</v>
      </c>
      <c r="F1" t="s">
        <v>175</v>
      </c>
      <c r="H1" t="s">
        <v>179</v>
      </c>
    </row>
    <row r="2" spans="1:16" x14ac:dyDescent="0.2">
      <c r="A2" t="str">
        <f>'DollarsPerDayExpenditures (2)'!A3</f>
        <v>AUTO FINANCE</v>
      </c>
      <c r="B2" t="str">
        <f>'DollarsPerDayExpenditures (2)'!B3</f>
        <v>29.06</v>
      </c>
      <c r="C2">
        <f>B2*30.4167</f>
        <v>883.90930199999991</v>
      </c>
      <c r="D2">
        <v>0</v>
      </c>
      <c r="E2">
        <f>D2/30.4167</f>
        <v>0</v>
      </c>
      <c r="F2">
        <f>VLOOKUP(A2,Budget_1[[ActualSpendingCategory1]:[ amount]],2,FALSE)</f>
        <v>-3093.16015625</v>
      </c>
      <c r="H2">
        <f>IF(E2=0,C2,D2)</f>
        <v>883.90930199999991</v>
      </c>
    </row>
    <row r="3" spans="1:16" x14ac:dyDescent="0.2">
      <c r="A3" t="str">
        <f>'DollarsPerDayExpenditures (2)'!A4</f>
        <v>AUTOINSURANCE</v>
      </c>
      <c r="B3" t="str">
        <f>'DollarsPerDayExpenditures (2)'!B4</f>
        <v>5.35</v>
      </c>
      <c r="C3">
        <f t="shared" ref="C3:C25" si="0">B3*30.4167</f>
        <v>162.729345</v>
      </c>
      <c r="D3">
        <v>-162.75</v>
      </c>
      <c r="E3">
        <f>D3/30.4167</f>
        <v>-5.3506790677489668</v>
      </c>
      <c r="F3">
        <f>VLOOKUP(A3,Budget_1[[ActualSpendingCategory1]:[ amount]],2,FALSE)</f>
        <v>-721.02001953125</v>
      </c>
      <c r="H3">
        <f t="shared" ref="H3:H25" si="1">IF(E3=0,C3,D3)</f>
        <v>-162.75</v>
      </c>
      <c r="O3" t="s">
        <v>241</v>
      </c>
      <c r="P3">
        <v>31</v>
      </c>
    </row>
    <row r="4" spans="1:16" x14ac:dyDescent="0.2">
      <c r="A4" t="str">
        <f>'DollarsPerDayExpenditures (2)'!A5</f>
        <v>AUTOMAINTENANCE</v>
      </c>
      <c r="B4" t="str">
        <f>'DollarsPerDayExpenditures (2)'!B5</f>
        <v>0.82</v>
      </c>
      <c r="C4">
        <f t="shared" si="0"/>
        <v>24.941693999999998</v>
      </c>
      <c r="D4">
        <v>0</v>
      </c>
      <c r="E4">
        <f t="shared" ref="E4:E25" si="2">D4/30.4167</f>
        <v>0</v>
      </c>
      <c r="F4">
        <f>VLOOKUP(A4,Budget_1[[ActualSpendingCategory1]:[ amount]],2,FALSE)</f>
        <v>-1611.97998046875</v>
      </c>
      <c r="H4">
        <f t="shared" si="1"/>
        <v>24.941693999999998</v>
      </c>
      <c r="O4" t="s">
        <v>242</v>
      </c>
      <c r="P4">
        <v>28</v>
      </c>
    </row>
    <row r="5" spans="1:16" x14ac:dyDescent="0.2">
      <c r="A5" t="str">
        <f>'DollarsPerDayExpenditures (2)'!A6</f>
        <v>BANK/CARDFEES</v>
      </c>
      <c r="B5" t="str">
        <f>'DollarsPerDayExpenditures (2)'!B6</f>
        <v>0.00</v>
      </c>
      <c r="C5">
        <f t="shared" si="0"/>
        <v>0</v>
      </c>
      <c r="D5">
        <v>0</v>
      </c>
      <c r="E5">
        <f t="shared" si="2"/>
        <v>0</v>
      </c>
      <c r="F5">
        <f>VLOOKUP(A5,Budget_1[[ActualSpendingCategory1]:[ amount]],2,FALSE)</f>
        <v>-29</v>
      </c>
      <c r="H5">
        <f t="shared" si="1"/>
        <v>0</v>
      </c>
      <c r="O5" t="s">
        <v>243</v>
      </c>
      <c r="P5">
        <v>31</v>
      </c>
    </row>
    <row r="6" spans="1:16" x14ac:dyDescent="0.2">
      <c r="A6" t="str">
        <f>'DollarsPerDayExpenditures (2)'!A7</f>
        <v>BOOKS/EDUCATION</v>
      </c>
      <c r="B6" t="str">
        <f>'DollarsPerDayExpenditures (2)'!B7</f>
        <v>0.00</v>
      </c>
      <c r="C6">
        <f t="shared" si="0"/>
        <v>0</v>
      </c>
      <c r="D6">
        <v>0</v>
      </c>
      <c r="E6">
        <f t="shared" si="2"/>
        <v>0</v>
      </c>
      <c r="F6">
        <f>VLOOKUP(A6,Budget_1[[ActualSpendingCategory1]:[ amount]],2,FALSE)</f>
        <v>-1544.60009765625</v>
      </c>
      <c r="H6">
        <f t="shared" si="1"/>
        <v>0</v>
      </c>
      <c r="O6" t="s">
        <v>244</v>
      </c>
      <c r="P6">
        <v>30</v>
      </c>
    </row>
    <row r="7" spans="1:16" x14ac:dyDescent="0.2">
      <c r="A7" t="str">
        <f>'DollarsPerDayExpenditures (2)'!A8</f>
        <v>CASH</v>
      </c>
      <c r="B7" t="str">
        <f>'DollarsPerDayExpenditures (2)'!B8</f>
        <v>1.32</v>
      </c>
      <c r="C7">
        <f t="shared" si="0"/>
        <v>40.150044000000001</v>
      </c>
      <c r="D7">
        <v>0</v>
      </c>
      <c r="E7">
        <f t="shared" si="2"/>
        <v>0</v>
      </c>
      <c r="F7">
        <f>VLOOKUP(A7,Budget_1[[ActualSpendingCategory1]:[ amount]],2,FALSE)</f>
        <v>-279.5</v>
      </c>
      <c r="H7">
        <f t="shared" si="1"/>
        <v>40.150044000000001</v>
      </c>
      <c r="O7" t="s">
        <v>245</v>
      </c>
      <c r="P7">
        <v>31</v>
      </c>
    </row>
    <row r="8" spans="1:16" x14ac:dyDescent="0.2">
      <c r="A8" t="str">
        <f>'DollarsPerDayExpenditures (2)'!A9</f>
        <v>CHARITABLECONTRIBUTIONS</v>
      </c>
      <c r="B8" t="str">
        <f>'DollarsPerDayExpenditures (2)'!B9</f>
        <v>0.00</v>
      </c>
      <c r="C8">
        <f t="shared" si="0"/>
        <v>0</v>
      </c>
      <c r="D8">
        <v>0</v>
      </c>
      <c r="E8">
        <f t="shared" si="2"/>
        <v>0</v>
      </c>
      <c r="F8">
        <f>VLOOKUP(A8,Budget_1[[ActualSpendingCategory1]:[ amount]],2,FALSE)</f>
        <v>-48.930000305175781</v>
      </c>
      <c r="H8">
        <f t="shared" si="1"/>
        <v>0</v>
      </c>
      <c r="O8" t="s">
        <v>246</v>
      </c>
      <c r="P8">
        <v>30</v>
      </c>
    </row>
    <row r="9" spans="1:16" x14ac:dyDescent="0.2">
      <c r="A9" t="str">
        <f>'DollarsPerDayExpenditures (2)'!A10</f>
        <v>COMPUTERSOFTWARE/HARDWARE</v>
      </c>
      <c r="B9" t="str">
        <f>'DollarsPerDayExpenditures (2)'!B10</f>
        <v>0.00</v>
      </c>
      <c r="C9">
        <f t="shared" si="0"/>
        <v>0</v>
      </c>
      <c r="D9">
        <v>0</v>
      </c>
      <c r="E9">
        <f t="shared" si="2"/>
        <v>0</v>
      </c>
      <c r="F9">
        <f>VLOOKUP(A9,Budget_1[[ActualSpendingCategory1]:[ amount]],2,FALSE)</f>
        <v>-573</v>
      </c>
      <c r="H9">
        <f t="shared" si="1"/>
        <v>0</v>
      </c>
      <c r="O9" t="s">
        <v>247</v>
      </c>
      <c r="P9">
        <v>31</v>
      </c>
    </row>
    <row r="10" spans="1:16" x14ac:dyDescent="0.2">
      <c r="A10" t="str">
        <f>'DollarsPerDayExpenditures (2)'!A11</f>
        <v>DININGOUT</v>
      </c>
      <c r="B10" t="str">
        <f>'DollarsPerDayExpenditures (2)'!B11</f>
        <v>1.32</v>
      </c>
      <c r="C10">
        <f t="shared" si="0"/>
        <v>40.150044000000001</v>
      </c>
      <c r="D10">
        <v>0</v>
      </c>
      <c r="E10">
        <f t="shared" si="2"/>
        <v>0</v>
      </c>
      <c r="F10">
        <f>VLOOKUP(A10,Budget_1[[ActualSpendingCategory1]:[ amount]],2,FALSE)</f>
        <v>-680.54998779296875</v>
      </c>
      <c r="H10">
        <f t="shared" si="1"/>
        <v>40.150044000000001</v>
      </c>
      <c r="O10" t="s">
        <v>248</v>
      </c>
      <c r="P10">
        <v>31</v>
      </c>
    </row>
    <row r="11" spans="1:16" x14ac:dyDescent="0.2">
      <c r="A11" t="str">
        <f>'DollarsPerDayExpenditures (2)'!A12</f>
        <v>DOCTOR/HOSPITAL</v>
      </c>
      <c r="B11" t="str">
        <f>'DollarsPerDayExpenditures (2)'!B12</f>
        <v>21.74</v>
      </c>
      <c r="C11">
        <f t="shared" si="0"/>
        <v>661.25905799999998</v>
      </c>
      <c r="D11">
        <v>0</v>
      </c>
      <c r="E11">
        <f t="shared" si="2"/>
        <v>0</v>
      </c>
      <c r="F11">
        <f>VLOOKUP(A11,Budget_1[[ActualSpendingCategory1]:[ amount]],2,FALSE)</f>
        <v>-1798.77001953125</v>
      </c>
      <c r="H11">
        <f t="shared" si="1"/>
        <v>661.25905799999998</v>
      </c>
      <c r="O11" t="s">
        <v>249</v>
      </c>
      <c r="P11">
        <v>30</v>
      </c>
    </row>
    <row r="12" spans="1:16" x14ac:dyDescent="0.2">
      <c r="A12" t="str">
        <f>'DollarsPerDayExpenditures (2)'!A13</f>
        <v>FOOD/GROCERIES</v>
      </c>
      <c r="B12" t="str">
        <f>'DollarsPerDayExpenditures (2)'!B13</f>
        <v>17.04</v>
      </c>
      <c r="C12">
        <f t="shared" si="0"/>
        <v>518.300568</v>
      </c>
      <c r="D12">
        <v>0</v>
      </c>
      <c r="E12">
        <f t="shared" si="2"/>
        <v>0</v>
      </c>
      <c r="F12">
        <f>VLOOKUP(A12,Budget_1[[ActualSpendingCategory1]:[ amount]],2,FALSE)</f>
        <v>-3528.110107421875</v>
      </c>
      <c r="H12">
        <f t="shared" si="1"/>
        <v>518.300568</v>
      </c>
      <c r="O12" t="s">
        <v>250</v>
      </c>
      <c r="P12">
        <v>31</v>
      </c>
    </row>
    <row r="13" spans="1:16" x14ac:dyDescent="0.2">
      <c r="A13" t="str">
        <f>'DollarsPerDayExpenditures (2)'!A14</f>
        <v>GAS</v>
      </c>
      <c r="B13" t="str">
        <f>'DollarsPerDayExpenditures (2)'!B14</f>
        <v>35.22</v>
      </c>
      <c r="C13">
        <f t="shared" si="0"/>
        <v>1071.2761739999999</v>
      </c>
      <c r="D13">
        <v>0</v>
      </c>
      <c r="E13">
        <f t="shared" si="2"/>
        <v>0</v>
      </c>
      <c r="F13">
        <f>VLOOKUP(A13,Budget_1[[ActualSpendingCategory1]:[ amount]],2,FALSE)</f>
        <v>-5554.9501953125</v>
      </c>
      <c r="H13">
        <f t="shared" si="1"/>
        <v>1071.2761739999999</v>
      </c>
      <c r="O13" t="s">
        <v>251</v>
      </c>
      <c r="P13">
        <v>30</v>
      </c>
    </row>
    <row r="14" spans="1:16" x14ac:dyDescent="0.2">
      <c r="A14" t="str">
        <f>'DollarsPerDayExpenditures (2)'!A15</f>
        <v>GIFTS/DONATIONS</v>
      </c>
      <c r="B14" t="str">
        <f>'DollarsPerDayExpenditures (2)'!B15</f>
        <v>0.72</v>
      </c>
      <c r="C14">
        <f t="shared" si="0"/>
        <v>21.900023999999998</v>
      </c>
      <c r="D14">
        <v>0</v>
      </c>
      <c r="E14">
        <f t="shared" si="2"/>
        <v>0</v>
      </c>
      <c r="F14">
        <f>VLOOKUP(A14,Budget_1[[ActualSpendingCategory1]:[ amount]],2,FALSE)</f>
        <v>-949.9200439453125</v>
      </c>
      <c r="H14">
        <f t="shared" si="1"/>
        <v>21.900023999999998</v>
      </c>
      <c r="O14" t="s">
        <v>252</v>
      </c>
      <c r="P14">
        <v>31</v>
      </c>
    </row>
    <row r="15" spans="1:16" x14ac:dyDescent="0.2">
      <c r="A15" t="str">
        <f>'DollarsPerDayExpenditures (2)'!A16</f>
        <v>HEALTHINSURANCE</v>
      </c>
      <c r="B15" t="str">
        <f>'DollarsPerDayExpenditures (2)'!B16</f>
        <v>0.63</v>
      </c>
      <c r="C15">
        <f t="shared" si="0"/>
        <v>19.162520999999998</v>
      </c>
      <c r="D15">
        <v>0</v>
      </c>
      <c r="E15">
        <f t="shared" si="2"/>
        <v>0</v>
      </c>
      <c r="F15">
        <f>VLOOKUP(A15,Budget_1[[ActualSpendingCategory1]:[ amount]],2,FALSE)</f>
        <v>-113.72000122070312</v>
      </c>
      <c r="H15">
        <f t="shared" si="1"/>
        <v>19.162520999999998</v>
      </c>
      <c r="P15">
        <f>SUM(P3:P14)</f>
        <v>365</v>
      </c>
    </row>
    <row r="16" spans="1:16" x14ac:dyDescent="0.2">
      <c r="A16" t="str">
        <f>'DollarsPerDayExpenditures (2)'!A17</f>
        <v>HOUSEHOLD</v>
      </c>
      <c r="B16" t="str">
        <f>'DollarsPerDayExpenditures (2)'!B17</f>
        <v>9.96</v>
      </c>
      <c r="C16">
        <f t="shared" si="0"/>
        <v>302.950332</v>
      </c>
      <c r="D16">
        <v>0</v>
      </c>
      <c r="E16">
        <f t="shared" si="2"/>
        <v>0</v>
      </c>
      <c r="F16">
        <f>VLOOKUP(A16,Budget_1[[ActualSpendingCategory1]:[ amount]],2,FALSE)</f>
        <v>-4441.35009765625</v>
      </c>
      <c r="H16">
        <f t="shared" si="1"/>
        <v>302.950332</v>
      </c>
      <c r="P16">
        <f>P15/12</f>
        <v>30.416666666666668</v>
      </c>
    </row>
    <row r="17" spans="1:16" x14ac:dyDescent="0.2">
      <c r="A17" t="str">
        <f>'DollarsPerDayExpenditures (2)'!A18</f>
        <v>INTERNET SERVICE</v>
      </c>
      <c r="B17" t="str">
        <f>'DollarsPerDayExpenditures (2)'!B18</f>
        <v>2.89</v>
      </c>
      <c r="C17">
        <f t="shared" si="0"/>
        <v>87.904263</v>
      </c>
      <c r="D17">
        <v>0</v>
      </c>
      <c r="E17">
        <f t="shared" si="2"/>
        <v>0</v>
      </c>
      <c r="F17">
        <f>VLOOKUP(A17,Budget_1[[ActualSpendingCategory1]:[ amount]],2,FALSE)</f>
        <v>-1259.5499267578125</v>
      </c>
      <c r="H17">
        <f t="shared" si="1"/>
        <v>87.904263</v>
      </c>
    </row>
    <row r="18" spans="1:16" x14ac:dyDescent="0.2">
      <c r="A18" t="str">
        <f>'DollarsPerDayExpenditures (2)'!A19</f>
        <v>LEGAL/DEBT</v>
      </c>
      <c r="B18" t="str">
        <f>'DollarsPerDayExpenditures (2)'!B19</f>
        <v>1.32</v>
      </c>
      <c r="C18">
        <f t="shared" si="0"/>
        <v>40.150044000000001</v>
      </c>
      <c r="D18">
        <v>0</v>
      </c>
      <c r="E18">
        <f t="shared" si="2"/>
        <v>0</v>
      </c>
      <c r="F18">
        <f>VLOOKUP(A18,Budget_1[[ActualSpendingCategory1]:[ amount]],2,FALSE)</f>
        <v>-120</v>
      </c>
      <c r="H18">
        <f t="shared" si="1"/>
        <v>40.150044000000001</v>
      </c>
      <c r="O18">
        <v>31</v>
      </c>
      <c r="P18">
        <f>COUNTIF(P3:P14,31)</f>
        <v>7</v>
      </c>
    </row>
    <row r="19" spans="1:16" x14ac:dyDescent="0.2">
      <c r="A19" t="str">
        <f>'DollarsPerDayExpenditures (2)'!A20</f>
        <v>MEDICAL/DENTAL/VISION INSURANCE</v>
      </c>
      <c r="B19" t="str">
        <f>'DollarsPerDayExpenditures (2)'!B20</f>
        <v>0.46</v>
      </c>
      <c r="C19">
        <f t="shared" si="0"/>
        <v>13.991682000000001</v>
      </c>
      <c r="D19">
        <v>0</v>
      </c>
      <c r="E19">
        <f t="shared" si="2"/>
        <v>0</v>
      </c>
      <c r="F19">
        <f>VLOOKUP(A19,Budget_1[[ActualSpendingCategory1]:[ amount]],2,FALSE)</f>
        <v>-428.42001342773438</v>
      </c>
      <c r="H19">
        <f t="shared" si="1"/>
        <v>13.991682000000001</v>
      </c>
      <c r="O19">
        <v>30</v>
      </c>
      <c r="P19">
        <f>COUNTIF(P3:P14,30)</f>
        <v>4</v>
      </c>
    </row>
    <row r="20" spans="1:16" x14ac:dyDescent="0.2">
      <c r="A20" t="str">
        <f>'DollarsPerDayExpenditures (2)'!A21</f>
        <v>MEDICAL/DENTAL/VISION</v>
      </c>
      <c r="B20" t="str">
        <f>'DollarsPerDayExpenditures (2)'!B21</f>
        <v>6.08</v>
      </c>
      <c r="C20">
        <f t="shared" si="0"/>
        <v>184.933536</v>
      </c>
      <c r="D20">
        <v>0</v>
      </c>
      <c r="E20">
        <f t="shared" si="2"/>
        <v>0</v>
      </c>
      <c r="F20">
        <f>VLOOKUP(A20,Budget_1[[ActualSpendingCategory1]:[ amount]],2,FALSE)</f>
        <v>-925</v>
      </c>
      <c r="H20">
        <f t="shared" si="1"/>
        <v>184.933536</v>
      </c>
      <c r="O20">
        <v>28</v>
      </c>
      <c r="P20">
        <v>1</v>
      </c>
    </row>
    <row r="21" spans="1:16" x14ac:dyDescent="0.2">
      <c r="A21" t="str">
        <f>'DollarsPerDayExpenditures (2)'!A22</f>
        <v>MISCELLANEOUS</v>
      </c>
      <c r="B21" t="str">
        <f>'DollarsPerDayExpenditures (2)'!B22</f>
        <v>0.99</v>
      </c>
      <c r="C21">
        <f t="shared" si="0"/>
        <v>30.112532999999999</v>
      </c>
      <c r="D21">
        <v>0</v>
      </c>
      <c r="E21">
        <f t="shared" si="2"/>
        <v>0</v>
      </c>
      <c r="F21">
        <f>VLOOKUP(A21,Budget_1[[ActualSpendingCategory1]:[ amount]],2,FALSE)</f>
        <v>-123.20999908447266</v>
      </c>
      <c r="H21">
        <f t="shared" si="1"/>
        <v>30.112532999999999</v>
      </c>
    </row>
    <row r="22" spans="1:16" x14ac:dyDescent="0.2">
      <c r="A22" t="str">
        <f>'DollarsPerDayExpenditures (2)'!A23</f>
        <v>NEWSPAPER/MAGAZINES</v>
      </c>
      <c r="B22" t="str">
        <f>'DollarsPerDayExpenditures (2)'!B23</f>
        <v>0.13</v>
      </c>
      <c r="C22">
        <f t="shared" si="0"/>
        <v>3.9541710000000001</v>
      </c>
      <c r="D22">
        <v>0</v>
      </c>
      <c r="E22">
        <f t="shared" si="2"/>
        <v>0</v>
      </c>
      <c r="F22">
        <f>VLOOKUP(A22,Budget_1[[ActualSpendingCategory1]:[ amount]],2,FALSE)</f>
        <v>-46.989997863769531</v>
      </c>
      <c r="H22">
        <f t="shared" si="1"/>
        <v>3.9541710000000001</v>
      </c>
    </row>
    <row r="23" spans="1:16" x14ac:dyDescent="0.2">
      <c r="A23" t="str">
        <f>'DollarsPerDayExpenditures (2)'!A24</f>
        <v>PETCARE</v>
      </c>
      <c r="B23" t="str">
        <f>'DollarsPerDayExpenditures (2)'!B24</f>
        <v>2.52</v>
      </c>
      <c r="C23">
        <f t="shared" si="0"/>
        <v>76.650083999999993</v>
      </c>
      <c r="D23">
        <v>0</v>
      </c>
      <c r="E23">
        <f t="shared" si="2"/>
        <v>0</v>
      </c>
      <c r="F23">
        <f>VLOOKUP(A23,Budget_1[[ActualSpendingCategory1]:[ amount]],2,FALSE)</f>
        <v>-336.82000732421875</v>
      </c>
      <c r="H23">
        <f t="shared" si="1"/>
        <v>76.650083999999993</v>
      </c>
    </row>
    <row r="24" spans="1:16" x14ac:dyDescent="0.2">
      <c r="A24" t="str">
        <f>'DollarsPerDayExpenditures (2)'!A25</f>
        <v>TITHE</v>
      </c>
      <c r="B24" t="str">
        <f>'DollarsPerDayExpenditures (2)'!B25</f>
        <v>0.00</v>
      </c>
      <c r="C24">
        <f t="shared" si="0"/>
        <v>0</v>
      </c>
      <c r="D24">
        <v>0</v>
      </c>
      <c r="E24">
        <f t="shared" si="2"/>
        <v>0</v>
      </c>
      <c r="F24">
        <f>VLOOKUP(A24,Budget_1[[ActualSpendingCategory1]:[ amount]],2,FALSE)</f>
        <v>-301.45001220703125</v>
      </c>
      <c r="H24">
        <f t="shared" si="1"/>
        <v>0</v>
      </c>
    </row>
    <row r="25" spans="1:16" x14ac:dyDescent="0.2">
      <c r="A25" t="str">
        <f>'DollarsPerDayExpenditures (2)'!A29</f>
        <v>VACATION/TRAVEL</v>
      </c>
      <c r="B25" t="str">
        <f>'DollarsPerDayExpenditures (2)'!B29</f>
        <v>0.66</v>
      </c>
      <c r="C25">
        <f t="shared" si="0"/>
        <v>20.075022000000001</v>
      </c>
      <c r="D25">
        <v>0</v>
      </c>
      <c r="E25">
        <f t="shared" si="2"/>
        <v>0</v>
      </c>
      <c r="F25">
        <f>VLOOKUP(A25,Budget_1[[ActualSpendingCategory1]:[ amount]],2,FALSE)</f>
        <v>-385.760009765625</v>
      </c>
      <c r="H25">
        <f t="shared" si="1"/>
        <v>20.075022000000001</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80639-CF85-B44F-9C71-E97C36499F72}">
  <dimension ref="A1:L33"/>
  <sheetViews>
    <sheetView zoomScale="171" workbookViewId="0">
      <selection activeCell="E16" sqref="E16"/>
    </sheetView>
  </sheetViews>
  <sheetFormatPr baseColWidth="10" defaultRowHeight="16" x14ac:dyDescent="0.2"/>
  <cols>
    <col min="1" max="1" width="33.5" bestFit="1" customWidth="1"/>
    <col min="2" max="2" width="13.33203125" bestFit="1" customWidth="1"/>
    <col min="3" max="3" width="33.5" bestFit="1" customWidth="1"/>
    <col min="4" max="4" width="12.5" bestFit="1" customWidth="1"/>
    <col min="5" max="5" width="13.33203125" bestFit="1" customWidth="1"/>
    <col min="6" max="6" width="21.5" bestFit="1" customWidth="1"/>
    <col min="7" max="7" width="20.33203125" style="4" bestFit="1" customWidth="1"/>
  </cols>
  <sheetData>
    <row r="1" spans="1:12" x14ac:dyDescent="0.2">
      <c r="A1" t="s">
        <v>117</v>
      </c>
      <c r="B1" t="s">
        <v>118</v>
      </c>
      <c r="C1" t="s">
        <v>120</v>
      </c>
      <c r="D1" t="s">
        <v>165</v>
      </c>
      <c r="E1" t="s">
        <v>119</v>
      </c>
      <c r="F1" t="s">
        <v>121</v>
      </c>
      <c r="G1" s="4" t="s">
        <v>122</v>
      </c>
      <c r="I1" t="b">
        <f t="shared" ref="I1" si="0">ISBLANK(G1)</f>
        <v>0</v>
      </c>
      <c r="J1" t="str">
        <f>LEFT(G1,1)</f>
        <v xml:space="preserve"> </v>
      </c>
      <c r="K1" t="b">
        <f>OR(EXACT(" ",J1),EXACT("-",J1))</f>
        <v>1</v>
      </c>
      <c r="L1" t="b">
        <f>AND(NOT(I1),K1)</f>
        <v>1</v>
      </c>
    </row>
    <row r="2" spans="1:12" x14ac:dyDescent="0.2">
      <c r="A2" s="41" t="s">
        <v>206</v>
      </c>
      <c r="B2">
        <v>-5554.9501953125</v>
      </c>
      <c r="C2" s="41" t="s">
        <v>206</v>
      </c>
      <c r="D2">
        <v>5811.3</v>
      </c>
      <c r="E2">
        <v>256.34980468750018</v>
      </c>
      <c r="F2">
        <v>35.22</v>
      </c>
      <c r="G2" s="4" t="s">
        <v>409</v>
      </c>
      <c r="I2" t="b">
        <f t="shared" ref="I2:I26" si="1">ISBLANK(G2)</f>
        <v>0</v>
      </c>
      <c r="J2" t="str">
        <f t="shared" ref="J2:J26" si="2">LEFT(G2,1)</f>
        <v>7</v>
      </c>
      <c r="K2" t="b">
        <f t="shared" ref="K2:K28" si="3">OR(EXACT(" ",J2),EXACT("-",J2))</f>
        <v>0</v>
      </c>
      <c r="L2" t="b">
        <f t="shared" ref="L2:L28" si="4">AND(NOT(I2),K2)</f>
        <v>0</v>
      </c>
    </row>
    <row r="3" spans="1:12" x14ac:dyDescent="0.2">
      <c r="A3" s="41" t="s">
        <v>216</v>
      </c>
      <c r="B3">
        <v>-4441.35009765625</v>
      </c>
      <c r="C3" s="41" t="s">
        <v>216</v>
      </c>
      <c r="D3">
        <v>1643.4</v>
      </c>
      <c r="E3">
        <v>-2797.9500976562499</v>
      </c>
      <c r="F3">
        <v>9.9600000000000009</v>
      </c>
      <c r="G3" s="4" t="s">
        <v>410</v>
      </c>
      <c r="I3" t="b">
        <f t="shared" si="1"/>
        <v>0</v>
      </c>
      <c r="J3" t="str">
        <f t="shared" si="2"/>
        <v>-</v>
      </c>
      <c r="K3" t="b">
        <f t="shared" si="3"/>
        <v>1</v>
      </c>
      <c r="L3" t="b">
        <f t="shared" si="4"/>
        <v>1</v>
      </c>
    </row>
    <row r="4" spans="1:12" x14ac:dyDescent="0.2">
      <c r="A4" s="41" t="s">
        <v>205</v>
      </c>
      <c r="B4">
        <v>-3528.110107421875</v>
      </c>
      <c r="C4" s="41" t="s">
        <v>205</v>
      </c>
      <c r="D4">
        <v>2811.6</v>
      </c>
      <c r="E4">
        <v>-716.51010742187509</v>
      </c>
      <c r="F4">
        <v>17.04</v>
      </c>
      <c r="G4" s="4" t="s">
        <v>432</v>
      </c>
      <c r="I4" t="b">
        <f t="shared" si="1"/>
        <v>0</v>
      </c>
      <c r="J4" t="str">
        <f t="shared" si="2"/>
        <v>-</v>
      </c>
      <c r="K4" t="b">
        <f t="shared" si="3"/>
        <v>1</v>
      </c>
      <c r="L4" t="b">
        <f t="shared" si="4"/>
        <v>1</v>
      </c>
    </row>
    <row r="5" spans="1:12" x14ac:dyDescent="0.2">
      <c r="A5" s="41" t="s">
        <v>217</v>
      </c>
      <c r="B5">
        <v>-3093.16015625</v>
      </c>
      <c r="C5" s="41" t="s">
        <v>217</v>
      </c>
      <c r="D5">
        <v>4794.8999999999996</v>
      </c>
      <c r="E5">
        <v>1701.7398437499996</v>
      </c>
      <c r="F5">
        <v>29.06</v>
      </c>
      <c r="G5" s="4" t="s">
        <v>411</v>
      </c>
      <c r="I5" t="b">
        <f t="shared" si="1"/>
        <v>0</v>
      </c>
      <c r="J5" t="str">
        <f t="shared" si="2"/>
        <v>5</v>
      </c>
      <c r="K5" t="b">
        <f t="shared" si="3"/>
        <v>0</v>
      </c>
      <c r="L5" t="b">
        <f t="shared" si="4"/>
        <v>0</v>
      </c>
    </row>
    <row r="6" spans="1:12" x14ac:dyDescent="0.2">
      <c r="A6" s="41" t="s">
        <v>235</v>
      </c>
      <c r="B6">
        <v>-1798.77001953125</v>
      </c>
      <c r="C6" s="41" t="s">
        <v>235</v>
      </c>
      <c r="D6">
        <v>3587.1</v>
      </c>
      <c r="E6">
        <v>1788.3299804687499</v>
      </c>
      <c r="F6">
        <v>21.74</v>
      </c>
      <c r="G6" s="4" t="s">
        <v>412</v>
      </c>
      <c r="I6" t="b">
        <f t="shared" si="1"/>
        <v>0</v>
      </c>
      <c r="J6" t="str">
        <f t="shared" si="2"/>
        <v>8</v>
      </c>
      <c r="K6" t="b">
        <f t="shared" si="3"/>
        <v>0</v>
      </c>
      <c r="L6" t="b">
        <f t="shared" si="4"/>
        <v>0</v>
      </c>
    </row>
    <row r="7" spans="1:12" x14ac:dyDescent="0.2">
      <c r="A7" s="41" t="s">
        <v>223</v>
      </c>
      <c r="B7">
        <v>-1611.97998046875</v>
      </c>
      <c r="C7" s="41" t="s">
        <v>223</v>
      </c>
      <c r="D7">
        <v>135.29999999999998</v>
      </c>
      <c r="E7">
        <v>-1476.67998046875</v>
      </c>
      <c r="F7">
        <v>0.82</v>
      </c>
      <c r="G7" s="4" t="s">
        <v>413</v>
      </c>
      <c r="I7" t="b">
        <f t="shared" si="1"/>
        <v>0</v>
      </c>
      <c r="J7" t="str">
        <f t="shared" si="2"/>
        <v>-</v>
      </c>
      <c r="K7" t="b">
        <f t="shared" si="3"/>
        <v>1</v>
      </c>
      <c r="L7" t="b">
        <f t="shared" si="4"/>
        <v>1</v>
      </c>
    </row>
    <row r="8" spans="1:12" x14ac:dyDescent="0.2">
      <c r="A8" s="41" t="s">
        <v>208</v>
      </c>
      <c r="B8">
        <v>-1544.60009765625</v>
      </c>
      <c r="C8" s="41" t="s">
        <v>208</v>
      </c>
      <c r="D8">
        <v>0</v>
      </c>
      <c r="E8">
        <v>-1544.60009765625</v>
      </c>
      <c r="F8">
        <v>0</v>
      </c>
      <c r="G8" s="4" t="s">
        <v>166</v>
      </c>
      <c r="I8" t="b">
        <f t="shared" si="1"/>
        <v>0</v>
      </c>
      <c r="J8" t="str">
        <f t="shared" si="2"/>
        <v>-</v>
      </c>
      <c r="K8" t="b">
        <f t="shared" si="3"/>
        <v>1</v>
      </c>
      <c r="L8" t="b">
        <f t="shared" si="4"/>
        <v>1</v>
      </c>
    </row>
    <row r="9" spans="1:12" x14ac:dyDescent="0.2">
      <c r="A9" s="41" t="s">
        <v>337</v>
      </c>
      <c r="B9">
        <v>-1390.7100830078125</v>
      </c>
      <c r="C9" s="41" t="s">
        <v>337</v>
      </c>
      <c r="D9">
        <v>0</v>
      </c>
      <c r="E9">
        <v>-1390.7100830078125</v>
      </c>
      <c r="F9">
        <v>0</v>
      </c>
      <c r="G9" s="4" t="s">
        <v>166</v>
      </c>
      <c r="I9" t="b">
        <f t="shared" si="1"/>
        <v>0</v>
      </c>
      <c r="J9" t="str">
        <f t="shared" si="2"/>
        <v>-</v>
      </c>
      <c r="K9" t="b">
        <f t="shared" si="3"/>
        <v>1</v>
      </c>
      <c r="L9" t="b">
        <f t="shared" si="4"/>
        <v>1</v>
      </c>
    </row>
    <row r="10" spans="1:12" x14ac:dyDescent="0.2">
      <c r="A10" s="41" t="s">
        <v>211</v>
      </c>
      <c r="B10">
        <v>-1259.5499267578125</v>
      </c>
      <c r="C10" s="41" t="s">
        <v>211</v>
      </c>
      <c r="D10">
        <v>476.85</v>
      </c>
      <c r="E10">
        <v>-782.69992675781248</v>
      </c>
      <c r="F10">
        <v>2.89</v>
      </c>
      <c r="G10" s="4" t="s">
        <v>414</v>
      </c>
      <c r="I10" t="b">
        <f t="shared" si="1"/>
        <v>0</v>
      </c>
      <c r="J10" t="str">
        <f t="shared" si="2"/>
        <v>-</v>
      </c>
      <c r="K10" t="b">
        <f t="shared" si="3"/>
        <v>1</v>
      </c>
      <c r="L10" t="b">
        <f t="shared" si="4"/>
        <v>1</v>
      </c>
    </row>
    <row r="11" spans="1:12" x14ac:dyDescent="0.2">
      <c r="A11" s="41" t="s">
        <v>229</v>
      </c>
      <c r="B11">
        <v>-949.9200439453125</v>
      </c>
      <c r="C11" s="41" t="s">
        <v>229</v>
      </c>
      <c r="D11">
        <v>118.8</v>
      </c>
      <c r="E11">
        <v>-831.12004394531255</v>
      </c>
      <c r="F11">
        <v>0.72</v>
      </c>
      <c r="G11" s="4" t="s">
        <v>415</v>
      </c>
      <c r="I11" t="b">
        <f t="shared" si="1"/>
        <v>0</v>
      </c>
      <c r="J11" t="str">
        <f t="shared" si="2"/>
        <v>-</v>
      </c>
      <c r="K11" t="b">
        <f t="shared" si="3"/>
        <v>1</v>
      </c>
      <c r="L11" t="b">
        <f t="shared" si="4"/>
        <v>1</v>
      </c>
    </row>
    <row r="12" spans="1:12" x14ac:dyDescent="0.2">
      <c r="A12" s="41" t="s">
        <v>221</v>
      </c>
      <c r="B12">
        <v>-925</v>
      </c>
      <c r="C12" s="41" t="s">
        <v>221</v>
      </c>
      <c r="D12">
        <v>1003.2</v>
      </c>
      <c r="E12">
        <v>78.200000000000045</v>
      </c>
      <c r="F12">
        <v>6.08</v>
      </c>
      <c r="G12" s="4" t="s">
        <v>416</v>
      </c>
      <c r="I12" t="b">
        <f t="shared" si="1"/>
        <v>0</v>
      </c>
      <c r="J12" t="str">
        <f t="shared" si="2"/>
        <v>1</v>
      </c>
      <c r="K12" t="b">
        <f t="shared" si="3"/>
        <v>0</v>
      </c>
      <c r="L12" t="b">
        <f t="shared" si="4"/>
        <v>0</v>
      </c>
    </row>
    <row r="13" spans="1:12" x14ac:dyDescent="0.2">
      <c r="A13" s="41" t="s">
        <v>230</v>
      </c>
      <c r="B13">
        <v>-895.97998046875</v>
      </c>
      <c r="C13" s="41" t="s">
        <v>230</v>
      </c>
      <c r="D13">
        <v>943.8</v>
      </c>
      <c r="E13">
        <v>47.820019531249955</v>
      </c>
      <c r="F13">
        <v>5.72</v>
      </c>
      <c r="G13" s="4" t="s">
        <v>417</v>
      </c>
      <c r="I13" t="b">
        <f t="shared" si="1"/>
        <v>0</v>
      </c>
      <c r="J13" t="str">
        <f t="shared" si="2"/>
        <v>8</v>
      </c>
      <c r="K13" t="b">
        <f t="shared" si="3"/>
        <v>0</v>
      </c>
      <c r="L13" t="b">
        <f t="shared" si="4"/>
        <v>0</v>
      </c>
    </row>
    <row r="14" spans="1:12" x14ac:dyDescent="0.2">
      <c r="A14" s="41" t="s">
        <v>215</v>
      </c>
      <c r="B14">
        <v>-721.02001953125</v>
      </c>
      <c r="C14" s="41" t="s">
        <v>215</v>
      </c>
      <c r="D14">
        <v>882.74999999999989</v>
      </c>
      <c r="E14">
        <v>161.72998046874989</v>
      </c>
      <c r="F14">
        <v>5.35</v>
      </c>
      <c r="G14" s="4" t="s">
        <v>418</v>
      </c>
      <c r="I14" t="b">
        <f t="shared" si="1"/>
        <v>0</v>
      </c>
      <c r="J14" t="str">
        <f t="shared" si="2"/>
        <v>3</v>
      </c>
      <c r="K14" t="b">
        <f t="shared" si="3"/>
        <v>0</v>
      </c>
      <c r="L14" t="b">
        <f t="shared" si="4"/>
        <v>0</v>
      </c>
    </row>
    <row r="15" spans="1:12" x14ac:dyDescent="0.2">
      <c r="A15" s="41" t="s">
        <v>226</v>
      </c>
      <c r="B15">
        <v>-680.54998779296875</v>
      </c>
      <c r="C15" s="41" t="s">
        <v>226</v>
      </c>
      <c r="D15">
        <v>217.8</v>
      </c>
      <c r="E15">
        <v>-462.74998779296874</v>
      </c>
      <c r="F15">
        <v>1.32</v>
      </c>
      <c r="G15" s="4" t="s">
        <v>419</v>
      </c>
      <c r="I15" t="b">
        <f t="shared" si="1"/>
        <v>0</v>
      </c>
      <c r="J15" t="str">
        <f t="shared" si="2"/>
        <v>-</v>
      </c>
      <c r="K15" t="b">
        <f t="shared" si="3"/>
        <v>1</v>
      </c>
      <c r="L15" t="b">
        <f t="shared" si="4"/>
        <v>1</v>
      </c>
    </row>
    <row r="16" spans="1:12" x14ac:dyDescent="0.2">
      <c r="A16" s="41" t="s">
        <v>238</v>
      </c>
      <c r="B16">
        <v>-573</v>
      </c>
      <c r="C16" s="41" t="s">
        <v>238</v>
      </c>
      <c r="D16">
        <v>0</v>
      </c>
      <c r="E16">
        <v>-573</v>
      </c>
      <c r="F16">
        <v>0</v>
      </c>
      <c r="G16" s="4" t="s">
        <v>166</v>
      </c>
      <c r="I16" t="b">
        <f t="shared" si="1"/>
        <v>0</v>
      </c>
      <c r="J16" t="str">
        <f t="shared" si="2"/>
        <v>-</v>
      </c>
      <c r="K16" t="b">
        <f t="shared" si="3"/>
        <v>1</v>
      </c>
      <c r="L16" t="b">
        <f t="shared" si="4"/>
        <v>1</v>
      </c>
    </row>
    <row r="17" spans="1:12" x14ac:dyDescent="0.2">
      <c r="A17" s="41" t="s">
        <v>218</v>
      </c>
      <c r="B17">
        <v>-428.42001342773438</v>
      </c>
      <c r="C17" s="41" t="s">
        <v>218</v>
      </c>
      <c r="D17">
        <v>75.900000000000006</v>
      </c>
      <c r="E17">
        <v>-352.5200134277344</v>
      </c>
      <c r="F17">
        <v>0.46</v>
      </c>
      <c r="G17" s="4" t="s">
        <v>420</v>
      </c>
      <c r="I17" t="b">
        <f t="shared" si="1"/>
        <v>0</v>
      </c>
      <c r="J17" t="str">
        <f t="shared" si="2"/>
        <v>-</v>
      </c>
      <c r="K17" t="b">
        <f t="shared" si="3"/>
        <v>1</v>
      </c>
      <c r="L17" t="b">
        <f t="shared" si="4"/>
        <v>1</v>
      </c>
    </row>
    <row r="18" spans="1:12" x14ac:dyDescent="0.2">
      <c r="A18" s="41" t="s">
        <v>233</v>
      </c>
      <c r="B18">
        <v>-422.77999877929688</v>
      </c>
      <c r="C18" s="41" t="s">
        <v>233</v>
      </c>
      <c r="D18">
        <v>376.2</v>
      </c>
      <c r="E18">
        <v>-46.579998779296886</v>
      </c>
      <c r="F18">
        <v>2.2799999999999998</v>
      </c>
      <c r="G18" s="4" t="s">
        <v>421</v>
      </c>
      <c r="I18" t="b">
        <f t="shared" si="1"/>
        <v>0</v>
      </c>
      <c r="J18" t="str">
        <f t="shared" si="2"/>
        <v>-</v>
      </c>
      <c r="K18" t="b">
        <f t="shared" si="3"/>
        <v>1</v>
      </c>
      <c r="L18" t="b">
        <f t="shared" si="4"/>
        <v>1</v>
      </c>
    </row>
    <row r="19" spans="1:12" x14ac:dyDescent="0.2">
      <c r="A19" s="41" t="s">
        <v>222</v>
      </c>
      <c r="B19">
        <v>-385.760009765625</v>
      </c>
      <c r="C19" s="41" t="s">
        <v>222</v>
      </c>
      <c r="D19">
        <v>108.9</v>
      </c>
      <c r="E19">
        <v>-276.86000976562502</v>
      </c>
      <c r="F19">
        <v>0.66</v>
      </c>
      <c r="G19" s="4" t="s">
        <v>422</v>
      </c>
      <c r="I19" t="b">
        <f t="shared" si="1"/>
        <v>0</v>
      </c>
      <c r="J19" t="str">
        <f t="shared" si="2"/>
        <v>-</v>
      </c>
      <c r="K19" t="b">
        <f t="shared" si="3"/>
        <v>1</v>
      </c>
      <c r="L19" t="b">
        <f t="shared" si="4"/>
        <v>1</v>
      </c>
    </row>
    <row r="20" spans="1:12" x14ac:dyDescent="0.2">
      <c r="A20" s="41" t="s">
        <v>219</v>
      </c>
      <c r="B20">
        <v>-336.82000732421875</v>
      </c>
      <c r="C20" s="41" t="s">
        <v>219</v>
      </c>
      <c r="D20">
        <v>415.8</v>
      </c>
      <c r="E20">
        <v>78.979992675781261</v>
      </c>
      <c r="F20">
        <v>2.52</v>
      </c>
      <c r="G20" s="4" t="s">
        <v>423</v>
      </c>
      <c r="I20" t="b">
        <f t="shared" si="1"/>
        <v>0</v>
      </c>
      <c r="J20" t="str">
        <f t="shared" si="2"/>
        <v>3</v>
      </c>
      <c r="K20" t="b">
        <f t="shared" si="3"/>
        <v>0</v>
      </c>
      <c r="L20" t="b">
        <f t="shared" si="4"/>
        <v>0</v>
      </c>
    </row>
    <row r="21" spans="1:12" x14ac:dyDescent="0.2">
      <c r="A21" s="41" t="s">
        <v>239</v>
      </c>
      <c r="B21">
        <v>-301.45001220703125</v>
      </c>
      <c r="C21" s="41" t="s">
        <v>239</v>
      </c>
      <c r="D21">
        <v>0</v>
      </c>
      <c r="E21">
        <v>-301.45001220703125</v>
      </c>
      <c r="F21">
        <v>0</v>
      </c>
      <c r="G21" s="4" t="s">
        <v>166</v>
      </c>
      <c r="I21" t="b">
        <f t="shared" si="1"/>
        <v>0</v>
      </c>
      <c r="J21" t="str">
        <f t="shared" si="2"/>
        <v>-</v>
      </c>
      <c r="K21" t="b">
        <f t="shared" si="3"/>
        <v>1</v>
      </c>
      <c r="L21" t="b">
        <f t="shared" si="4"/>
        <v>1</v>
      </c>
    </row>
    <row r="22" spans="1:12" x14ac:dyDescent="0.2">
      <c r="A22" s="41" t="s">
        <v>126</v>
      </c>
      <c r="B22">
        <v>-279.5</v>
      </c>
      <c r="C22" s="41" t="s">
        <v>126</v>
      </c>
      <c r="D22">
        <v>217.8</v>
      </c>
      <c r="E22">
        <v>-61.699999999999989</v>
      </c>
      <c r="F22">
        <v>1.32</v>
      </c>
      <c r="G22" s="4" t="s">
        <v>424</v>
      </c>
      <c r="I22" t="b">
        <f t="shared" si="1"/>
        <v>0</v>
      </c>
      <c r="J22" t="str">
        <f t="shared" si="2"/>
        <v>-</v>
      </c>
      <c r="K22" t="b">
        <f t="shared" si="3"/>
        <v>1</v>
      </c>
      <c r="L22" t="b">
        <f t="shared" si="4"/>
        <v>1</v>
      </c>
    </row>
    <row r="23" spans="1:12" x14ac:dyDescent="0.2">
      <c r="A23" s="41" t="s">
        <v>425</v>
      </c>
      <c r="B23">
        <v>-253.00999450683594</v>
      </c>
      <c r="C23" s="41" t="s">
        <v>425</v>
      </c>
      <c r="D23">
        <v>0</v>
      </c>
      <c r="E23">
        <v>-253.00999450683594</v>
      </c>
      <c r="F23">
        <v>0</v>
      </c>
      <c r="G23" s="4" t="s">
        <v>166</v>
      </c>
      <c r="I23" t="b">
        <f t="shared" si="1"/>
        <v>0</v>
      </c>
      <c r="J23" t="str">
        <f t="shared" si="2"/>
        <v>-</v>
      </c>
      <c r="K23" t="b">
        <f t="shared" si="3"/>
        <v>1</v>
      </c>
      <c r="L23" t="b">
        <f t="shared" si="4"/>
        <v>1</v>
      </c>
    </row>
    <row r="24" spans="1:12" x14ac:dyDescent="0.2">
      <c r="A24" s="41" t="s">
        <v>214</v>
      </c>
      <c r="B24">
        <v>-203.88999938964844</v>
      </c>
      <c r="C24" s="41" t="s">
        <v>214</v>
      </c>
      <c r="D24">
        <v>0</v>
      </c>
      <c r="E24">
        <v>-203.88999938964844</v>
      </c>
      <c r="F24">
        <v>0</v>
      </c>
      <c r="G24" s="4" t="s">
        <v>166</v>
      </c>
      <c r="I24" t="b">
        <f t="shared" si="1"/>
        <v>0</v>
      </c>
      <c r="J24" t="str">
        <f t="shared" si="2"/>
        <v>-</v>
      </c>
      <c r="K24" t="b">
        <f t="shared" si="3"/>
        <v>1</v>
      </c>
      <c r="L24" t="b">
        <f t="shared" si="4"/>
        <v>1</v>
      </c>
    </row>
    <row r="25" spans="1:12" x14ac:dyDescent="0.2">
      <c r="A25" s="41" t="s">
        <v>227</v>
      </c>
      <c r="B25">
        <v>-133.39999389648438</v>
      </c>
      <c r="C25" s="41" t="s">
        <v>227</v>
      </c>
      <c r="D25">
        <v>0</v>
      </c>
      <c r="E25">
        <v>-133.39999389648438</v>
      </c>
      <c r="F25">
        <v>0</v>
      </c>
      <c r="G25" s="4" t="s">
        <v>166</v>
      </c>
      <c r="I25" t="b">
        <f t="shared" si="1"/>
        <v>0</v>
      </c>
      <c r="J25" t="str">
        <f t="shared" si="2"/>
        <v>-</v>
      </c>
      <c r="K25" t="b">
        <f t="shared" si="3"/>
        <v>1</v>
      </c>
      <c r="L25" t="b">
        <f t="shared" si="4"/>
        <v>1</v>
      </c>
    </row>
    <row r="26" spans="1:12" x14ac:dyDescent="0.2">
      <c r="A26" s="41" t="s">
        <v>396</v>
      </c>
      <c r="B26">
        <v>-123.20999908447266</v>
      </c>
      <c r="C26" s="41" t="s">
        <v>396</v>
      </c>
      <c r="D26">
        <v>163.35</v>
      </c>
      <c r="E26">
        <v>40.140000915527338</v>
      </c>
      <c r="F26">
        <v>0.99</v>
      </c>
      <c r="G26" s="4" t="s">
        <v>426</v>
      </c>
      <c r="I26" t="b">
        <f t="shared" si="1"/>
        <v>0</v>
      </c>
      <c r="J26" t="str">
        <f t="shared" si="2"/>
        <v>4</v>
      </c>
      <c r="K26" t="b">
        <f t="shared" si="3"/>
        <v>0</v>
      </c>
      <c r="L26" t="b">
        <f t="shared" si="4"/>
        <v>0</v>
      </c>
    </row>
    <row r="27" spans="1:12" x14ac:dyDescent="0.2">
      <c r="A27" s="41" t="s">
        <v>225</v>
      </c>
      <c r="B27">
        <v>-120</v>
      </c>
      <c r="C27" s="41" t="s">
        <v>225</v>
      </c>
      <c r="D27">
        <v>217.8</v>
      </c>
      <c r="E27">
        <v>97.800000000000011</v>
      </c>
      <c r="F27">
        <v>1.32</v>
      </c>
      <c r="G27" s="4" t="s">
        <v>427</v>
      </c>
      <c r="I27" t="b">
        <f>ISBLANK(G33)</f>
        <v>0</v>
      </c>
      <c r="J27" t="str">
        <f>LEFT(G33,1)</f>
        <v>-</v>
      </c>
      <c r="K27" t="b">
        <f t="shared" si="3"/>
        <v>1</v>
      </c>
      <c r="L27" t="b">
        <f t="shared" si="4"/>
        <v>1</v>
      </c>
    </row>
    <row r="28" spans="1:12" x14ac:dyDescent="0.2">
      <c r="A28" s="41" t="s">
        <v>232</v>
      </c>
      <c r="B28">
        <v>-113.72000122070312</v>
      </c>
      <c r="C28" s="41" t="s">
        <v>232</v>
      </c>
      <c r="D28">
        <v>103.95</v>
      </c>
      <c r="E28">
        <v>-9.7700012207031222</v>
      </c>
      <c r="F28">
        <v>0.63</v>
      </c>
      <c r="G28" s="4" t="s">
        <v>428</v>
      </c>
      <c r="I28" t="b">
        <f>ISBLANK(G34)</f>
        <v>1</v>
      </c>
      <c r="J28" t="str">
        <f>LEFT(G34,1)</f>
        <v/>
      </c>
      <c r="K28" t="b">
        <f t="shared" si="3"/>
        <v>0</v>
      </c>
      <c r="L28" t="b">
        <f t="shared" si="4"/>
        <v>0</v>
      </c>
    </row>
    <row r="29" spans="1:12" x14ac:dyDescent="0.2">
      <c r="A29" s="41" t="s">
        <v>207</v>
      </c>
      <c r="B29">
        <v>-48.930000305175781</v>
      </c>
      <c r="C29" s="41" t="s">
        <v>207</v>
      </c>
      <c r="D29">
        <v>0</v>
      </c>
      <c r="E29">
        <v>-48.930000305175781</v>
      </c>
      <c r="F29">
        <v>0</v>
      </c>
      <c r="G29" s="4" t="s">
        <v>166</v>
      </c>
    </row>
    <row r="30" spans="1:12" x14ac:dyDescent="0.2">
      <c r="A30" s="41" t="s">
        <v>210</v>
      </c>
      <c r="B30">
        <v>-46.989997863769531</v>
      </c>
      <c r="C30" s="41" t="s">
        <v>210</v>
      </c>
      <c r="D30">
        <v>21.45</v>
      </c>
      <c r="E30">
        <v>-25.539997863769532</v>
      </c>
      <c r="F30">
        <v>0.13</v>
      </c>
      <c r="G30" s="4" t="s">
        <v>429</v>
      </c>
    </row>
    <row r="31" spans="1:12" x14ac:dyDescent="0.2">
      <c r="A31" s="41" t="s">
        <v>237</v>
      </c>
      <c r="B31">
        <v>-29</v>
      </c>
      <c r="C31" s="41" t="s">
        <v>237</v>
      </c>
      <c r="D31">
        <v>0</v>
      </c>
      <c r="E31">
        <v>-29</v>
      </c>
      <c r="F31">
        <v>0</v>
      </c>
      <c r="G31" s="4" t="s">
        <v>166</v>
      </c>
    </row>
    <row r="32" spans="1:12" x14ac:dyDescent="0.2">
      <c r="A32" s="41" t="s">
        <v>220</v>
      </c>
      <c r="B32">
        <v>-21.469999313354492</v>
      </c>
      <c r="C32" s="41" t="s">
        <v>220</v>
      </c>
      <c r="D32">
        <v>0</v>
      </c>
      <c r="E32">
        <v>-21.469999313354492</v>
      </c>
      <c r="F32">
        <v>0</v>
      </c>
      <c r="G32" s="4" t="s">
        <v>166</v>
      </c>
    </row>
    <row r="33" spans="1:7" x14ac:dyDescent="0.2">
      <c r="A33" s="41" t="s">
        <v>430</v>
      </c>
      <c r="B33">
        <v>2595.800048828125</v>
      </c>
      <c r="C33" s="41" t="s">
        <v>430</v>
      </c>
      <c r="D33">
        <v>0</v>
      </c>
      <c r="E33">
        <v>-2595.800048828125</v>
      </c>
      <c r="F33">
        <v>0</v>
      </c>
      <c r="G33" s="4" t="s">
        <v>166</v>
      </c>
    </row>
  </sheetData>
  <conditionalFormatting sqref="G1:G26">
    <cfRule type="expression" dxfId="11" priority="1">
      <formula>IF(ISBLANK(G1),FALSE,NOT(L1))</formula>
    </cfRule>
  </conditionalFormatting>
  <conditionalFormatting sqref="G27 G29">
    <cfRule type="expression" dxfId="9" priority="5">
      <formula>IF(ISBLANK(G27),FALSE,NOT(L26))</formula>
    </cfRule>
  </conditionalFormatting>
  <conditionalFormatting sqref="G28 G33">
    <cfRule type="expression" dxfId="7" priority="9">
      <formula>IF(ISBLANK(G28),FALSE,NOT(L25))</formula>
    </cfRule>
  </conditionalFormatting>
  <conditionalFormatting sqref="G30 G32">
    <cfRule type="expression" dxfId="5" priority="13">
      <formula>IF(ISBLANK(G30),FALSE,NOT(L26))</formula>
    </cfRule>
  </conditionalFormatting>
  <conditionalFormatting sqref="G31">
    <cfRule type="expression" dxfId="3" priority="17">
      <formula>IF(ISBLANK(G31),FALSE,NOT(L24))</formula>
    </cfRule>
  </conditionalFormatting>
  <conditionalFormatting sqref="G34:G1048576">
    <cfRule type="expression" dxfId="1" priority="23">
      <formula>IF(ISBLANK(G34),FALSE,NOT(L28))</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23CC6E98-CFBD-C748-93FA-BD21C8174061}">
            <xm:f>NOT(ISERROR(SEARCH("-",G1)))</xm:f>
            <xm:f>"-"</xm:f>
            <x14:dxf>
              <font>
                <color rgb="FF9C0006"/>
              </font>
              <fill>
                <patternFill>
                  <bgColor rgb="FFFFC7CE"/>
                </patternFill>
              </fill>
            </x14:dxf>
          </x14:cfRule>
          <xm:sqref>G1:G26</xm:sqref>
        </x14:conditionalFormatting>
        <x14:conditionalFormatting xmlns:xm="http://schemas.microsoft.com/office/excel/2006/main">
          <x14:cfRule type="containsText" priority="6" operator="containsText" id="{23CC6E98-CFBD-C748-93FA-BD21C8174061}">
            <xm:f>NOT(ISERROR(SEARCH("-",G27)))</xm:f>
            <xm:f>"-"</xm:f>
            <x14:dxf>
              <font>
                <color rgb="FF9C0006"/>
              </font>
              <fill>
                <patternFill>
                  <bgColor rgb="FFFFC7CE"/>
                </patternFill>
              </fill>
            </x14:dxf>
          </x14:cfRule>
          <xm:sqref>G27 G29</xm:sqref>
        </x14:conditionalFormatting>
        <x14:conditionalFormatting xmlns:xm="http://schemas.microsoft.com/office/excel/2006/main">
          <x14:cfRule type="containsText" priority="10" operator="containsText" id="{23CC6E98-CFBD-C748-93FA-BD21C8174061}">
            <xm:f>NOT(ISERROR(SEARCH("-",G28)))</xm:f>
            <xm:f>"-"</xm:f>
            <x14:dxf>
              <font>
                <color rgb="FF9C0006"/>
              </font>
              <fill>
                <patternFill>
                  <bgColor rgb="FFFFC7CE"/>
                </patternFill>
              </fill>
            </x14:dxf>
          </x14:cfRule>
          <xm:sqref>G28 G33</xm:sqref>
        </x14:conditionalFormatting>
        <x14:conditionalFormatting xmlns:xm="http://schemas.microsoft.com/office/excel/2006/main">
          <x14:cfRule type="containsText" priority="14" operator="containsText" id="{23CC6E98-CFBD-C748-93FA-BD21C8174061}">
            <xm:f>NOT(ISERROR(SEARCH("-",G30)))</xm:f>
            <xm:f>"-"</xm:f>
            <x14:dxf>
              <font>
                <color rgb="FF9C0006"/>
              </font>
              <fill>
                <patternFill>
                  <bgColor rgb="FFFFC7CE"/>
                </patternFill>
              </fill>
            </x14:dxf>
          </x14:cfRule>
          <xm:sqref>G30 G32</xm:sqref>
        </x14:conditionalFormatting>
        <x14:conditionalFormatting xmlns:xm="http://schemas.microsoft.com/office/excel/2006/main">
          <x14:cfRule type="containsText" priority="18" operator="containsText" id="{23CC6E98-CFBD-C748-93FA-BD21C8174061}">
            <xm:f>NOT(ISERROR(SEARCH("-",G31)))</xm:f>
            <xm:f>"-"</xm:f>
            <x14:dxf>
              <font>
                <color rgb="FF9C0006"/>
              </font>
              <fill>
                <patternFill>
                  <bgColor rgb="FFFFC7CE"/>
                </patternFill>
              </fill>
            </x14:dxf>
          </x14:cfRule>
          <xm:sqref>G31</xm:sqref>
        </x14:conditionalFormatting>
        <x14:conditionalFormatting xmlns:xm="http://schemas.microsoft.com/office/excel/2006/main">
          <x14:cfRule type="containsText" priority="24" operator="containsText" id="{23CC6E98-CFBD-C748-93FA-BD21C8174061}">
            <xm:f>NOT(ISERROR(SEARCH("-",G34)))</xm:f>
            <xm:f>"-"</xm:f>
            <x14:dxf>
              <font>
                <color rgb="FF9C0006"/>
              </font>
              <fill>
                <patternFill>
                  <bgColor rgb="FFFFC7CE"/>
                </patternFill>
              </fill>
            </x14:dxf>
          </x14:cfRule>
          <xm:sqref>G34:G1048576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8B93-6C43-D14D-A0E6-0BE39643FA19}">
  <dimension ref="A1:D32"/>
  <sheetViews>
    <sheetView zoomScale="200" zoomScaleNormal="200" workbookViewId="0">
      <selection activeCell="D24" sqref="D24"/>
    </sheetView>
  </sheetViews>
  <sheetFormatPr baseColWidth="10" defaultRowHeight="16" x14ac:dyDescent="0.2"/>
  <cols>
    <col min="1" max="1" width="33.5" bestFit="1" customWidth="1"/>
    <col min="2" max="2" width="12.83203125" bestFit="1" customWidth="1"/>
  </cols>
  <sheetData>
    <row r="1" spans="1:4" x14ac:dyDescent="0.2">
      <c r="A1" t="s">
        <v>167</v>
      </c>
      <c r="B1" t="s">
        <v>168</v>
      </c>
      <c r="D1" t="s">
        <v>46</v>
      </c>
    </row>
    <row r="2" spans="1:4" x14ac:dyDescent="0.2">
      <c r="A2" s="41" t="s">
        <v>223</v>
      </c>
      <c r="B2">
        <v>-989.6400146484375</v>
      </c>
      <c r="C2" s="9">
        <f t="shared" ref="C2:C22" si="0">IF(B2&lt;0,B2,0)</f>
        <v>-989.6400146484375</v>
      </c>
      <c r="D2" s="10" t="e">
        <f>C2/$C$32*100</f>
        <v>#REF!</v>
      </c>
    </row>
    <row r="3" spans="1:4" x14ac:dyDescent="0.2">
      <c r="A3" s="41" t="s">
        <v>217</v>
      </c>
      <c r="B3">
        <v>-883.760009765625</v>
      </c>
      <c r="C3" s="9">
        <f t="shared" si="0"/>
        <v>-883.760009765625</v>
      </c>
      <c r="D3" s="10" t="e">
        <f t="shared" ref="D3:D31" si="1">C3/$C$32*100</f>
        <v>#REF!</v>
      </c>
    </row>
    <row r="4" spans="1:4" x14ac:dyDescent="0.2">
      <c r="A4" s="41" t="s">
        <v>216</v>
      </c>
      <c r="B4">
        <v>-394.91998291015625</v>
      </c>
      <c r="C4" s="9">
        <f t="shared" si="0"/>
        <v>-394.91998291015625</v>
      </c>
      <c r="D4" s="10" t="e">
        <f>C4/$C$32*100</f>
        <v>#REF!</v>
      </c>
    </row>
    <row r="5" spans="1:4" x14ac:dyDescent="0.2">
      <c r="A5" s="41" t="s">
        <v>206</v>
      </c>
      <c r="B5">
        <v>-389.57998657226562</v>
      </c>
      <c r="C5" s="9">
        <f t="shared" si="0"/>
        <v>-389.57998657226562</v>
      </c>
      <c r="D5" s="10" t="e">
        <f t="shared" si="1"/>
        <v>#REF!</v>
      </c>
    </row>
    <row r="6" spans="1:4" x14ac:dyDescent="0.2">
      <c r="A6" s="41" t="s">
        <v>205</v>
      </c>
      <c r="B6">
        <v>-386.95001220703125</v>
      </c>
      <c r="C6" s="9">
        <f t="shared" si="0"/>
        <v>-386.95001220703125</v>
      </c>
      <c r="D6" s="10" t="e">
        <f t="shared" si="1"/>
        <v>#REF!</v>
      </c>
    </row>
    <row r="7" spans="1:4" x14ac:dyDescent="0.2">
      <c r="A7" s="41" t="s">
        <v>218</v>
      </c>
      <c r="B7">
        <v>-373.05999755859375</v>
      </c>
      <c r="C7" s="9">
        <f t="shared" si="0"/>
        <v>-373.05999755859375</v>
      </c>
      <c r="D7" s="10" t="e">
        <f t="shared" si="1"/>
        <v>#REF!</v>
      </c>
    </row>
    <row r="8" spans="1:4" x14ac:dyDescent="0.2">
      <c r="A8" s="41" t="s">
        <v>235</v>
      </c>
      <c r="B8">
        <v>-248.91999816894531</v>
      </c>
      <c r="C8" s="9">
        <f t="shared" si="0"/>
        <v>-248.91999816894531</v>
      </c>
      <c r="D8" s="10" t="e">
        <f t="shared" si="1"/>
        <v>#REF!</v>
      </c>
    </row>
    <row r="9" spans="1:4" x14ac:dyDescent="0.2">
      <c r="A9" s="41" t="s">
        <v>221</v>
      </c>
      <c r="B9">
        <v>-185</v>
      </c>
      <c r="C9" s="9">
        <f t="shared" si="0"/>
        <v>-185</v>
      </c>
      <c r="D9" s="10" t="e">
        <f t="shared" si="1"/>
        <v>#REF!</v>
      </c>
    </row>
    <row r="10" spans="1:4" x14ac:dyDescent="0.2">
      <c r="A10" s="41" t="s">
        <v>230</v>
      </c>
      <c r="B10">
        <v>-174</v>
      </c>
      <c r="C10" s="9">
        <f t="shared" si="0"/>
        <v>-174</v>
      </c>
      <c r="D10" s="10" t="e">
        <f t="shared" si="1"/>
        <v>#REF!</v>
      </c>
    </row>
    <row r="11" spans="1:4" x14ac:dyDescent="0.2">
      <c r="A11" s="41" t="s">
        <v>215</v>
      </c>
      <c r="B11">
        <v>-162.83000183105469</v>
      </c>
      <c r="C11" s="9">
        <f t="shared" si="0"/>
        <v>-162.83000183105469</v>
      </c>
      <c r="D11" s="10" t="e">
        <f t="shared" si="1"/>
        <v>#REF!</v>
      </c>
    </row>
    <row r="12" spans="1:4" x14ac:dyDescent="0.2">
      <c r="A12" s="41" t="s">
        <v>211</v>
      </c>
      <c r="B12">
        <v>-115.44999694824219</v>
      </c>
      <c r="C12" s="9">
        <f t="shared" si="0"/>
        <v>-115.44999694824219</v>
      </c>
      <c r="D12" s="10" t="e">
        <f t="shared" si="1"/>
        <v>#REF!</v>
      </c>
    </row>
    <row r="13" spans="1:4" x14ac:dyDescent="0.2">
      <c r="A13" s="41" t="s">
        <v>226</v>
      </c>
      <c r="B13">
        <v>-77.790000915527344</v>
      </c>
      <c r="C13" s="9">
        <f t="shared" si="0"/>
        <v>-77.790000915527344</v>
      </c>
      <c r="D13" s="10" t="e">
        <f t="shared" si="1"/>
        <v>#REF!</v>
      </c>
    </row>
    <row r="14" spans="1:4" x14ac:dyDescent="0.2">
      <c r="A14" s="41" t="s">
        <v>233</v>
      </c>
      <c r="B14">
        <v>-74.790000915527344</v>
      </c>
      <c r="C14" s="9">
        <f t="shared" si="0"/>
        <v>-74.790000915527344</v>
      </c>
      <c r="D14" s="10" t="e">
        <f t="shared" si="1"/>
        <v>#REF!</v>
      </c>
    </row>
    <row r="15" spans="1:4" x14ac:dyDescent="0.2">
      <c r="A15" s="41" t="s">
        <v>219</v>
      </c>
      <c r="B15">
        <v>-59.090000152587891</v>
      </c>
      <c r="C15" s="9">
        <f t="shared" si="0"/>
        <v>-59.090000152587891</v>
      </c>
      <c r="D15" s="10" t="e">
        <f t="shared" si="1"/>
        <v>#REF!</v>
      </c>
    </row>
    <row r="16" spans="1:4" x14ac:dyDescent="0.2">
      <c r="A16" s="41" t="s">
        <v>208</v>
      </c>
      <c r="B16">
        <v>-42.830001831054688</v>
      </c>
      <c r="C16" s="9">
        <f t="shared" si="0"/>
        <v>-42.830001831054688</v>
      </c>
      <c r="D16" s="10" t="e">
        <f t="shared" si="1"/>
        <v>#REF!</v>
      </c>
    </row>
    <row r="17" spans="1:4" x14ac:dyDescent="0.2">
      <c r="A17" s="41" t="s">
        <v>225</v>
      </c>
      <c r="B17">
        <v>-40</v>
      </c>
      <c r="C17" s="9">
        <f t="shared" si="0"/>
        <v>-40</v>
      </c>
      <c r="D17" s="10" t="e">
        <f t="shared" si="1"/>
        <v>#REF!</v>
      </c>
    </row>
    <row r="18" spans="1:4" x14ac:dyDescent="0.2">
      <c r="A18" s="41" t="s">
        <v>396</v>
      </c>
      <c r="B18">
        <v>-27</v>
      </c>
      <c r="C18" s="9">
        <f t="shared" si="0"/>
        <v>-27</v>
      </c>
      <c r="D18" s="10" t="e">
        <f t="shared" si="1"/>
        <v>#REF!</v>
      </c>
    </row>
    <row r="19" spans="1:4" x14ac:dyDescent="0.2">
      <c r="A19" s="41" t="s">
        <v>232</v>
      </c>
      <c r="B19">
        <v>-5.5900001525878906</v>
      </c>
      <c r="C19" s="9">
        <f t="shared" si="0"/>
        <v>-5.5900001525878906</v>
      </c>
      <c r="D19" s="10" t="e">
        <f t="shared" si="1"/>
        <v>#REF!</v>
      </c>
    </row>
    <row r="20" spans="1:4" x14ac:dyDescent="0.2">
      <c r="A20" s="41" t="s">
        <v>337</v>
      </c>
      <c r="B20">
        <v>-3.4300003051757812</v>
      </c>
      <c r="C20" s="9">
        <f t="shared" si="0"/>
        <v>-3.4300003051757812</v>
      </c>
      <c r="D20" s="10" t="e">
        <f t="shared" si="1"/>
        <v>#REF!</v>
      </c>
    </row>
    <row r="21" spans="1:4" x14ac:dyDescent="0.2">
      <c r="A21" s="41" t="s">
        <v>238</v>
      </c>
      <c r="B21">
        <v>-2.3599998950958252</v>
      </c>
      <c r="C21" s="9">
        <f t="shared" si="0"/>
        <v>-2.3599998950958252</v>
      </c>
      <c r="D21" s="10" t="e">
        <f t="shared" si="1"/>
        <v>#REF!</v>
      </c>
    </row>
    <row r="22" spans="1:4" x14ac:dyDescent="0.2">
      <c r="A22" s="41" t="s">
        <v>229</v>
      </c>
      <c r="B22">
        <v>0</v>
      </c>
      <c r="C22" s="9">
        <f t="shared" si="0"/>
        <v>0</v>
      </c>
      <c r="D22" s="10" t="e">
        <f t="shared" si="1"/>
        <v>#REF!</v>
      </c>
    </row>
    <row r="23" spans="1:4" x14ac:dyDescent="0.2">
      <c r="A23" s="41" t="s">
        <v>126</v>
      </c>
      <c r="B23">
        <v>3.5</v>
      </c>
      <c r="C23" s="9" t="e">
        <f>IF(#REF!&lt;0,#REF!,0)</f>
        <v>#REF!</v>
      </c>
      <c r="D23" s="10" t="e">
        <f t="shared" si="1"/>
        <v>#REF!</v>
      </c>
    </row>
    <row r="24" spans="1:4" x14ac:dyDescent="0.2">
      <c r="C24" s="9">
        <f>IF(B23&lt;0,B23,0)</f>
        <v>0</v>
      </c>
      <c r="D24" s="10" t="e">
        <f t="shared" si="1"/>
        <v>#REF!</v>
      </c>
    </row>
    <row r="25" spans="1:4" x14ac:dyDescent="0.2">
      <c r="C25" s="9">
        <f>IF(B26&lt;0,B26,0)</f>
        <v>0</v>
      </c>
      <c r="D25" s="10" t="e">
        <f t="shared" si="1"/>
        <v>#REF!</v>
      </c>
    </row>
    <row r="26" spans="1:4" x14ac:dyDescent="0.2">
      <c r="C26" s="9">
        <f>IF(B27&lt;0,B27,0)</f>
        <v>0</v>
      </c>
      <c r="D26" s="10" t="e">
        <f t="shared" si="1"/>
        <v>#REF!</v>
      </c>
    </row>
    <row r="27" spans="1:4" x14ac:dyDescent="0.2">
      <c r="C27" s="9">
        <f>IF(B28&lt;0,B28,0)</f>
        <v>0</v>
      </c>
      <c r="D27" s="10" t="e">
        <f t="shared" si="1"/>
        <v>#REF!</v>
      </c>
    </row>
    <row r="28" spans="1:4" x14ac:dyDescent="0.2">
      <c r="C28" s="9">
        <f>IF(B29&lt;0,B29,0)</f>
        <v>0</v>
      </c>
      <c r="D28" s="10" t="e">
        <f t="shared" si="1"/>
        <v>#REF!</v>
      </c>
    </row>
    <row r="29" spans="1:4" x14ac:dyDescent="0.2">
      <c r="C29" s="9">
        <f>IF(B30&lt;0,B30,0)</f>
        <v>0</v>
      </c>
      <c r="D29" s="10" t="e">
        <f t="shared" si="1"/>
        <v>#REF!</v>
      </c>
    </row>
    <row r="30" spans="1:4" x14ac:dyDescent="0.2">
      <c r="C30" s="9">
        <f>IF(B31&lt;0,B31,0)</f>
        <v>0</v>
      </c>
      <c r="D30" s="10" t="e">
        <f t="shared" si="1"/>
        <v>#REF!</v>
      </c>
    </row>
    <row r="31" spans="1:4" x14ac:dyDescent="0.2">
      <c r="C31" s="9">
        <f>IF(B32&lt;0,B32,0)</f>
        <v>0</v>
      </c>
      <c r="D31" s="10" t="e">
        <f t="shared" si="1"/>
        <v>#REF!</v>
      </c>
    </row>
    <row r="32" spans="1:4" x14ac:dyDescent="0.2">
      <c r="C32" t="e">
        <f>SUM(C2:C31)</f>
        <v>#REF!</v>
      </c>
    </row>
  </sheetData>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0232-0610-1C4D-9D08-2B524827CBF7}">
  <dimension ref="A1:X100"/>
  <sheetViews>
    <sheetView workbookViewId="0">
      <selection activeCell="AD25" sqref="AD25"/>
    </sheetView>
  </sheetViews>
  <sheetFormatPr baseColWidth="10" defaultRowHeight="16" x14ac:dyDescent="0.2"/>
  <cols>
    <col min="1" max="1" width="21.33203125" customWidth="1"/>
  </cols>
  <sheetData>
    <row r="1" spans="1:24" x14ac:dyDescent="0.2">
      <c r="A1" t="str">
        <f>[1]TruckNumbers!A1</f>
        <v>Date and time</v>
      </c>
      <c r="B1" t="str">
        <f>[1]TruckNumbers!B1</f>
        <v>Driving mode</v>
      </c>
      <c r="C1" s="29" t="str">
        <f>[1]TruckNumbers!C1</f>
        <v>trip location(s) (Include idle time)</v>
      </c>
      <c r="D1" s="4" t="str">
        <f>[1]TruckNumbers!E1</f>
        <v>Recorded MPG</v>
      </c>
      <c r="E1" s="30" t="str">
        <f>[1]TruckNumbers!D1</f>
        <v>Reason</v>
      </c>
      <c r="F1" s="4" t="str">
        <f>[1]TruckNumbers!G1</f>
        <v>Trip Miles</v>
      </c>
      <c r="G1" t="str">
        <f>[1]TruckNumbers!H1</f>
        <v>Tank reading</v>
      </c>
      <c r="H1" s="4" t="str">
        <f>[1]TruckNumbers!I1</f>
        <v>Miles</v>
      </c>
      <c r="I1" s="4" t="str">
        <f>[1]TruckNumbers!F1</f>
        <v>Trip one time</v>
      </c>
      <c r="J1" s="4" t="str">
        <f>[1]TruckNumbers!J1</f>
        <v>MilesTo E</v>
      </c>
      <c r="K1" s="4">
        <f>[1]TruckNumbers!K1</f>
        <v>0</v>
      </c>
      <c r="L1" s="31" t="str">
        <f>[1]TruckNumbers!L1</f>
        <v xml:space="preserve">Starting mileage </v>
      </c>
      <c r="M1" t="str">
        <f>[1]TruckNumbers!M1</f>
        <v>Trip time calc (Hours)</v>
      </c>
      <c r="N1" t="str">
        <f>[1]TruckNumbers!N1</f>
        <v>Avg. m/h</v>
      </c>
      <c r="O1" s="4" t="str">
        <f>[1]TruckNumbers!O1</f>
        <v>Cost of Trip</v>
      </c>
      <c r="P1" s="28" t="str">
        <f>[1]TruckNumbers!P1</f>
        <v>Dollars/Mile</v>
      </c>
      <c r="Q1" s="4" t="str">
        <f>[1]TruckNumbers!Q1</f>
        <v>$/Gal</v>
      </c>
      <c r="R1" s="4" t="str">
        <f>[1]TruckNumbers!R1</f>
        <v>Tank Reading dec.</v>
      </c>
      <c r="S1" s="4" t="str">
        <f>[1]TruckNumbers!S1</f>
        <v>I Forgot</v>
      </c>
      <c r="T1" s="4" t="str">
        <f>[1]TruckNumbers!T1</f>
        <v>Trip one time</v>
      </c>
      <c r="U1" t="str">
        <f>[1]TruckNumbers!U1</f>
        <v>Trip Miles Calculated</v>
      </c>
      <c r="V1" t="str">
        <f>[1]TruckNumbers!V1</f>
        <v>Miles</v>
      </c>
      <c r="W1" t="str">
        <f>[1]TruckNumbers!W1</f>
        <v>Difference btwn Calc&amp;Manual</v>
      </c>
      <c r="X1" t="str">
        <f>[1]TruckNumbers!X1</f>
        <v>Calc Gal Used II</v>
      </c>
    </row>
    <row r="2" spans="1:24" x14ac:dyDescent="0.2">
      <c r="A2" t="str">
        <f>[1]TruckNumbers!A2</f>
        <v>Process(es)</v>
      </c>
      <c r="B2">
        <f>[1]TruckNumbers!B2</f>
        <v>0</v>
      </c>
      <c r="C2" s="29">
        <f>[1]TruckNumbers!C2</f>
        <v>0</v>
      </c>
      <c r="D2" s="4">
        <f>[1]TruckNumbers!E2</f>
        <v>0</v>
      </c>
      <c r="E2" s="30">
        <f>[1]TruckNumbers!D2</f>
        <v>0</v>
      </c>
      <c r="F2" s="4">
        <f>[1]TruckNumbers!G2</f>
        <v>0</v>
      </c>
      <c r="G2">
        <f>[1]TruckNumbers!H2</f>
        <v>0</v>
      </c>
      <c r="H2" s="4">
        <f>[1]TruckNumbers!I2</f>
        <v>0</v>
      </c>
      <c r="I2" s="4">
        <f>[1]TruckNumbers!F2</f>
        <v>0</v>
      </c>
      <c r="J2" s="4">
        <f>[1]TruckNumbers!J2</f>
        <v>0</v>
      </c>
      <c r="K2" s="4" t="str">
        <f>[1]TruckNumbers!K2</f>
        <v>:</v>
      </c>
      <c r="L2" s="31">
        <f>[1]TruckNumbers!L2</f>
        <v>0</v>
      </c>
      <c r="M2">
        <f>[1]TruckNumbers!M2</f>
        <v>0</v>
      </c>
      <c r="N2">
        <f>[1]TruckNumbers!N2</f>
        <v>0</v>
      </c>
      <c r="O2" s="4">
        <f>[1]TruckNumbers!O2</f>
        <v>0</v>
      </c>
      <c r="P2" s="28">
        <f>[1]TruckNumbers!P2</f>
        <v>0</v>
      </c>
      <c r="Q2" s="4">
        <f>[1]TruckNumbers!Q2</f>
        <v>0</v>
      </c>
      <c r="R2" s="4">
        <f>[1]TruckNumbers!R2</f>
        <v>0</v>
      </c>
      <c r="S2" s="4">
        <f>[1]TruckNumbers!S2</f>
        <v>0</v>
      </c>
      <c r="T2" s="4">
        <f>[1]TruckNumbers!T2</f>
        <v>0</v>
      </c>
      <c r="U2">
        <f>[1]TruckNumbers!U2</f>
        <v>0</v>
      </c>
      <c r="V2">
        <f>[1]TruckNumbers!V2</f>
        <v>0</v>
      </c>
      <c r="W2">
        <f>[1]TruckNumbers!W2</f>
        <v>0</v>
      </c>
      <c r="X2">
        <f>[1]TruckNumbers!X2</f>
        <v>0</v>
      </c>
    </row>
    <row r="3" spans="1:24" x14ac:dyDescent="0.2">
      <c r="A3" t="str">
        <f>[1]TruckNumbers!A3</f>
        <v>After each trip, record information in this sheet.  You may be late for an appointment if you record at the beginning.  There's less pressure when you get home.</v>
      </c>
      <c r="B3">
        <f>[1]TruckNumbers!B3</f>
        <v>0</v>
      </c>
      <c r="C3" s="29">
        <f>[1]TruckNumbers!C3</f>
        <v>0</v>
      </c>
      <c r="D3" s="4">
        <f>[1]TruckNumbers!E3</f>
        <v>0</v>
      </c>
      <c r="E3" s="30">
        <f>[1]TruckNumbers!D3</f>
        <v>0</v>
      </c>
      <c r="F3" s="4">
        <f>[1]TruckNumbers!G3</f>
        <v>0</v>
      </c>
      <c r="G3">
        <f>[1]TruckNumbers!H3</f>
        <v>0</v>
      </c>
      <c r="H3" s="4">
        <f>[1]TruckNumbers!I3</f>
        <v>0</v>
      </c>
      <c r="I3" s="4">
        <f>[1]TruckNumbers!F3</f>
        <v>0</v>
      </c>
      <c r="J3" s="4">
        <f>[1]TruckNumbers!J3</f>
        <v>0</v>
      </c>
      <c r="K3" s="4">
        <f>[1]TruckNumbers!K3</f>
        <v>0</v>
      </c>
      <c r="L3" s="31">
        <f>[1]TruckNumbers!L3</f>
        <v>0</v>
      </c>
      <c r="M3">
        <f>[1]TruckNumbers!M3</f>
        <v>0</v>
      </c>
      <c r="N3">
        <f>[1]TruckNumbers!N3</f>
        <v>0</v>
      </c>
      <c r="O3" s="4">
        <f>[1]TruckNumbers!O3</f>
        <v>0</v>
      </c>
      <c r="P3" s="28">
        <f>[1]TruckNumbers!P3</f>
        <v>0</v>
      </c>
      <c r="Q3" s="4">
        <f>[1]TruckNumbers!Q3</f>
        <v>0</v>
      </c>
      <c r="R3" s="4">
        <f>[1]TruckNumbers!R3</f>
        <v>0</v>
      </c>
      <c r="S3" s="4">
        <f>[1]TruckNumbers!S3</f>
        <v>0</v>
      </c>
      <c r="T3" s="4">
        <f>[1]TruckNumbers!T3</f>
        <v>0</v>
      </c>
      <c r="U3">
        <f>[1]TruckNumbers!U3</f>
        <v>0</v>
      </c>
      <c r="V3">
        <f>[1]TruckNumbers!V3</f>
        <v>0</v>
      </c>
      <c r="W3">
        <f>[1]TruckNumbers!W3</f>
        <v>0</v>
      </c>
      <c r="X3">
        <f>[1]TruckNumbers!X3</f>
        <v>0</v>
      </c>
    </row>
    <row r="4" spans="1:24" x14ac:dyDescent="0.2">
      <c r="A4" t="str">
        <f>[1]TruckNumbers!A4</f>
        <v>After each gas fill-up reset Trip B.  Trip B should be used for Gas tank measurements all together to double check other numbers.  Use Trip B for Entire Gas tank (Measure at gas pump)</v>
      </c>
      <c r="B4">
        <f>[1]TruckNumbers!B4</f>
        <v>0</v>
      </c>
      <c r="C4" s="29">
        <f>[1]TruckNumbers!C4</f>
        <v>0</v>
      </c>
      <c r="D4" s="4">
        <f>[1]TruckNumbers!E4</f>
        <v>0</v>
      </c>
      <c r="E4" s="30">
        <f>[1]TruckNumbers!D4</f>
        <v>0</v>
      </c>
      <c r="F4" s="4">
        <f>[1]TruckNumbers!G4</f>
        <v>0</v>
      </c>
      <c r="G4">
        <f>[1]TruckNumbers!H4</f>
        <v>0</v>
      </c>
      <c r="H4" s="4">
        <f>[1]TruckNumbers!I4</f>
        <v>0</v>
      </c>
      <c r="I4" s="4">
        <f>[1]TruckNumbers!F4</f>
        <v>0</v>
      </c>
      <c r="J4" s="4">
        <f>[1]TruckNumbers!J4</f>
        <v>0</v>
      </c>
      <c r="K4" s="4">
        <f>[1]TruckNumbers!K4</f>
        <v>0</v>
      </c>
      <c r="L4" s="31">
        <f>[1]TruckNumbers!L4</f>
        <v>0</v>
      </c>
      <c r="M4">
        <f>[1]TruckNumbers!M4</f>
        <v>0</v>
      </c>
      <c r="N4">
        <f>[1]TruckNumbers!N4</f>
        <v>0</v>
      </c>
      <c r="O4" s="4">
        <f>[1]TruckNumbers!O4</f>
        <v>0</v>
      </c>
      <c r="P4" s="28">
        <f>[1]TruckNumbers!P4</f>
        <v>0</v>
      </c>
      <c r="Q4" s="4">
        <f>[1]TruckNumbers!Q4</f>
        <v>0</v>
      </c>
      <c r="R4" s="4">
        <f>[1]TruckNumbers!R4</f>
        <v>0</v>
      </c>
      <c r="S4" s="4">
        <f>[1]TruckNumbers!S4</f>
        <v>0</v>
      </c>
      <c r="T4" s="4">
        <f>[1]TruckNumbers!T4</f>
        <v>0</v>
      </c>
      <c r="U4">
        <f>[1]TruckNumbers!U4</f>
        <v>0</v>
      </c>
      <c r="V4">
        <f>[1]TruckNumbers!V4</f>
        <v>0</v>
      </c>
      <c r="W4">
        <f>[1]TruckNumbers!W4</f>
        <v>0</v>
      </c>
      <c r="X4" t="str">
        <f>[1]TruckNumbers!X4</f>
        <v>Gas tank size (in gallons)</v>
      </c>
    </row>
    <row r="5" spans="1:24" x14ac:dyDescent="0.2">
      <c r="A5" t="str">
        <f>[1]TruckNumbers!A5</f>
        <v>Use Trip A for individual trips between fill-ups.</v>
      </c>
      <c r="B5">
        <f>[1]TruckNumbers!B5</f>
        <v>0</v>
      </c>
      <c r="C5" s="29">
        <f>[1]TruckNumbers!C5</f>
        <v>0</v>
      </c>
      <c r="D5" s="4">
        <f>[1]TruckNumbers!E5</f>
        <v>0</v>
      </c>
      <c r="E5" s="30">
        <f>[1]TruckNumbers!D5</f>
        <v>0</v>
      </c>
      <c r="F5" s="4">
        <f>[1]TruckNumbers!G5</f>
        <v>0</v>
      </c>
      <c r="G5">
        <f>[1]TruckNumbers!H5</f>
        <v>0</v>
      </c>
      <c r="H5" s="4">
        <f>[1]TruckNumbers!I5</f>
        <v>0</v>
      </c>
      <c r="I5" s="4">
        <f>[1]TruckNumbers!F5</f>
        <v>0</v>
      </c>
      <c r="J5" s="4">
        <f>[1]TruckNumbers!J5</f>
        <v>0</v>
      </c>
      <c r="K5" s="4">
        <f>[1]TruckNumbers!K5</f>
        <v>0</v>
      </c>
      <c r="L5" s="31">
        <f>[1]TruckNumbers!L5</f>
        <v>0</v>
      </c>
      <c r="M5">
        <f>[1]TruckNumbers!M5</f>
        <v>0</v>
      </c>
      <c r="N5">
        <f>[1]TruckNumbers!N5</f>
        <v>0</v>
      </c>
      <c r="O5" s="4">
        <f>[1]TruckNumbers!O5</f>
        <v>0</v>
      </c>
      <c r="P5" s="28">
        <f>[1]TruckNumbers!P5</f>
        <v>0</v>
      </c>
      <c r="Q5" s="4">
        <f>[1]TruckNumbers!Q5</f>
        <v>0</v>
      </c>
      <c r="R5" s="4">
        <f>[1]TruckNumbers!R5</f>
        <v>0</v>
      </c>
      <c r="S5" s="4">
        <f>[1]TruckNumbers!S5</f>
        <v>0</v>
      </c>
      <c r="T5" s="4">
        <f>[1]TruckNumbers!T5</f>
        <v>0</v>
      </c>
      <c r="U5">
        <f>[1]TruckNumbers!U5</f>
        <v>0</v>
      </c>
      <c r="V5">
        <f>[1]TruckNumbers!V5</f>
        <v>0</v>
      </c>
      <c r="W5">
        <f>[1]TruckNumbers!W5</f>
        <v>0</v>
      </c>
      <c r="X5">
        <f>[1]TruckNumbers!X5</f>
        <v>32</v>
      </c>
    </row>
    <row r="6" spans="1:24" x14ac:dyDescent="0.2">
      <c r="A6">
        <f>[1]TruckNumbers!A9</f>
        <v>45791</v>
      </c>
      <c r="B6">
        <f>[1]TruckNumbers!B9</f>
        <v>0</v>
      </c>
      <c r="C6" s="29">
        <f>[1]TruckNumbers!C9</f>
        <v>0</v>
      </c>
      <c r="D6" s="4">
        <f>[1]TruckNumbers!E9</f>
        <v>0</v>
      </c>
      <c r="E6" s="30">
        <f>[1]TruckNumbers!D9</f>
        <v>0</v>
      </c>
      <c r="F6" s="4" t="e">
        <f>[1]TruckNumbers!G9</f>
        <v>#VALUE!</v>
      </c>
      <c r="G6">
        <f>[1]TruckNumbers!H9</f>
        <v>0</v>
      </c>
      <c r="H6" s="4">
        <f>[1]TruckNumbers!I9</f>
        <v>0</v>
      </c>
      <c r="I6" s="4">
        <f>[1]TruckNumbers!F9</f>
        <v>0</v>
      </c>
      <c r="J6" s="4">
        <f>[1]TruckNumbers!J9</f>
        <v>0</v>
      </c>
      <c r="K6" s="4">
        <f>[1]TruckNumbers!K9</f>
        <v>0</v>
      </c>
      <c r="L6" s="31">
        <f>[1]TruckNumbers!L9</f>
        <v>0</v>
      </c>
      <c r="M6">
        <f>[1]TruckNumbers!M9</f>
        <v>0</v>
      </c>
      <c r="N6">
        <f>[1]TruckNumbers!N9</f>
        <v>0</v>
      </c>
      <c r="O6" s="4">
        <f>[1]TruckNumbers!O9</f>
        <v>0</v>
      </c>
      <c r="P6" s="28" t="e">
        <f>[1]TruckNumbers!P9</f>
        <v>#VALUE!</v>
      </c>
      <c r="Q6" s="4">
        <f>[1]TruckNumbers!Q9</f>
        <v>4.1989999999999998</v>
      </c>
      <c r="R6" s="4">
        <f>[1]TruckNumbers!R9</f>
        <v>0</v>
      </c>
      <c r="S6" s="4">
        <f>[1]TruckNumbers!S9</f>
        <v>0</v>
      </c>
      <c r="T6" s="4">
        <f>[1]TruckNumbers!T9</f>
        <v>0</v>
      </c>
      <c r="U6">
        <f>[1]TruckNumbers!U9</f>
        <v>0</v>
      </c>
      <c r="V6">
        <f>[1]TruckNumbers!V9</f>
        <v>0</v>
      </c>
      <c r="W6">
        <f>[1]TruckNumbers!W9</f>
        <v>0</v>
      </c>
      <c r="X6">
        <f>[1]TruckNumbers!X9</f>
        <v>0</v>
      </c>
    </row>
    <row r="7" spans="1:24" x14ac:dyDescent="0.2">
      <c r="A7" s="13">
        <f>[1]TruckNumbers!A10</f>
        <v>45796</v>
      </c>
      <c r="B7">
        <f>[1]TruckNumbers!B10</f>
        <v>0</v>
      </c>
      <c r="C7" s="29">
        <f>[1]TruckNumbers!C10</f>
        <v>0</v>
      </c>
      <c r="D7" s="4">
        <f>[1]TruckNumbers!E10</f>
        <v>16.899999999999999</v>
      </c>
      <c r="E7" s="30">
        <f>[1]TruckNumbers!D10</f>
        <v>0</v>
      </c>
      <c r="F7" s="4">
        <f>[1]TruckNumbers!G10</f>
        <v>11578.6</v>
      </c>
      <c r="G7">
        <f>[1]TruckNumbers!H10</f>
        <v>0</v>
      </c>
      <c r="H7" s="4">
        <f>[1]TruckNumbers!I10</f>
        <v>11578.6</v>
      </c>
      <c r="I7" s="4">
        <f>[1]TruckNumbers!F10</f>
        <v>0</v>
      </c>
      <c r="J7" s="4">
        <f>[1]TruckNumbers!J10</f>
        <v>0</v>
      </c>
      <c r="K7" s="4">
        <f>[1]TruckNumbers!K10</f>
        <v>0</v>
      </c>
      <c r="L7" s="31">
        <f>[1]TruckNumbers!L10</f>
        <v>0</v>
      </c>
      <c r="M7">
        <f>[1]TruckNumbers!M10</f>
        <v>0</v>
      </c>
      <c r="N7">
        <f>[1]TruckNumbers!N10</f>
        <v>0</v>
      </c>
      <c r="O7" s="4">
        <f>[1]TruckNumbers!O10</f>
        <v>0</v>
      </c>
      <c r="P7" s="28">
        <f>[1]TruckNumbers!P10</f>
        <v>0</v>
      </c>
      <c r="Q7" s="4">
        <f>[1]TruckNumbers!Q10</f>
        <v>4.1989999999999998</v>
      </c>
      <c r="R7" s="4">
        <f>[1]TruckNumbers!R10</f>
        <v>0</v>
      </c>
      <c r="S7" s="4">
        <f>[1]TruckNumbers!S10</f>
        <v>0</v>
      </c>
      <c r="T7" s="4">
        <f>[1]TruckNumbers!T10</f>
        <v>0</v>
      </c>
      <c r="U7">
        <f>[1]TruckNumbers!U10</f>
        <v>0</v>
      </c>
      <c r="V7">
        <f>[1]TruckNumbers!V10</f>
        <v>0</v>
      </c>
      <c r="W7">
        <f>[1]TruckNumbers!W10</f>
        <v>0</v>
      </c>
      <c r="X7">
        <f>[1]TruckNumbers!X10</f>
        <v>0</v>
      </c>
    </row>
    <row r="8" spans="1:24" x14ac:dyDescent="0.2">
      <c r="A8" s="13">
        <f>[1]TruckNumbers!A11</f>
        <v>45796</v>
      </c>
      <c r="B8">
        <f>[1]TruckNumbers!B11</f>
        <v>0</v>
      </c>
      <c r="C8" s="29">
        <f>[1]TruckNumbers!C11</f>
        <v>0</v>
      </c>
      <c r="D8" s="4">
        <f>[1]TruckNumbers!E11</f>
        <v>0</v>
      </c>
      <c r="E8" s="30">
        <f>[1]TruckNumbers!D11</f>
        <v>0</v>
      </c>
      <c r="F8" s="4">
        <f>[1]TruckNumbers!G11</f>
        <v>7.7999999999992724</v>
      </c>
      <c r="G8" t="str">
        <f>[1]TruckNumbers!H11</f>
        <v>5/8</v>
      </c>
      <c r="H8" s="4">
        <f>[1]TruckNumbers!I11</f>
        <v>11586.4</v>
      </c>
      <c r="I8" s="4">
        <f>[1]TruckNumbers!F11</f>
        <v>0</v>
      </c>
      <c r="J8" s="4">
        <f>[1]TruckNumbers!J11</f>
        <v>0</v>
      </c>
      <c r="K8" s="4">
        <f>[1]TruckNumbers!K11</f>
        <v>0</v>
      </c>
      <c r="L8" s="31">
        <f>[1]TruckNumbers!L11</f>
        <v>0</v>
      </c>
      <c r="M8">
        <f>[1]TruckNumbers!M11</f>
        <v>0</v>
      </c>
      <c r="N8">
        <f>[1]TruckNumbers!N11</f>
        <v>0</v>
      </c>
      <c r="O8" s="4">
        <f>[1]TruckNumbers!O11</f>
        <v>0</v>
      </c>
      <c r="P8" s="28">
        <f>[1]TruckNumbers!P11</f>
        <v>0</v>
      </c>
      <c r="Q8" s="4">
        <f>[1]TruckNumbers!Q11</f>
        <v>4.1989999999999998</v>
      </c>
      <c r="R8" s="4">
        <f>[1]TruckNumbers!R11</f>
        <v>0.625</v>
      </c>
      <c r="S8" s="4">
        <f>[1]TruckNumbers!S11</f>
        <v>0</v>
      </c>
      <c r="T8" s="4">
        <f>[1]TruckNumbers!T11</f>
        <v>0</v>
      </c>
      <c r="U8">
        <f>[1]TruckNumbers!U11</f>
        <v>0</v>
      </c>
      <c r="V8">
        <f>[1]TruckNumbers!V11</f>
        <v>0</v>
      </c>
      <c r="W8">
        <f>[1]TruckNumbers!W11</f>
        <v>0</v>
      </c>
      <c r="X8">
        <f>[1]TruckNumbers!X11</f>
        <v>0</v>
      </c>
    </row>
    <row r="9" spans="1:24" x14ac:dyDescent="0.2">
      <c r="A9" s="13">
        <f>[1]TruckNumbers!A12</f>
        <v>45796</v>
      </c>
      <c r="B9">
        <f>[1]TruckNumbers!B12</f>
        <v>0</v>
      </c>
      <c r="C9" s="29">
        <f>[1]TruckNumbers!C12</f>
        <v>0</v>
      </c>
      <c r="D9" s="4">
        <f>[1]TruckNumbers!E12</f>
        <v>16.399999999999999</v>
      </c>
      <c r="E9" s="30">
        <f>[1]TruckNumbers!D12</f>
        <v>0</v>
      </c>
      <c r="F9" s="4">
        <f>[1]TruckNumbers!G12</f>
        <v>7</v>
      </c>
      <c r="G9" s="32" t="str">
        <f>[1]TruckNumbers!H12</f>
        <v xml:space="preserve">9/16 </v>
      </c>
      <c r="H9" s="4">
        <f>[1]TruckNumbers!I12</f>
        <v>11593.4</v>
      </c>
      <c r="I9" s="4">
        <f>[1]TruckNumbers!F12</f>
        <v>1.1624884259259258</v>
      </c>
      <c r="J9" s="4">
        <f>[1]TruckNumbers!J12</f>
        <v>0</v>
      </c>
      <c r="K9" s="4">
        <f>[1]TruckNumbers!K12</f>
        <v>0</v>
      </c>
      <c r="L9" s="31">
        <f>[1]TruckNumbers!L12</f>
        <v>0</v>
      </c>
      <c r="M9">
        <f>[1]TruckNumbers!M12</f>
        <v>27.89972222222222</v>
      </c>
      <c r="N9">
        <f>[1]TruckNumbers!N12</f>
        <v>0</v>
      </c>
      <c r="O9" s="4">
        <f>[1]TruckNumbers!O12</f>
        <v>0</v>
      </c>
      <c r="P9" s="28">
        <f>[1]TruckNumbers!P12</f>
        <v>0</v>
      </c>
      <c r="Q9" s="4">
        <f>[1]TruckNumbers!Q12</f>
        <v>4.1989999999999998</v>
      </c>
      <c r="R9" s="4">
        <f>[1]TruckNumbers!R12</f>
        <v>0.5625</v>
      </c>
      <c r="S9" s="4" t="b">
        <f>[1]TruckNumbers!S12</f>
        <v>0</v>
      </c>
      <c r="T9" s="4">
        <f>[1]TruckNumbers!T12</f>
        <v>0</v>
      </c>
      <c r="U9">
        <f>[1]TruckNumbers!U12</f>
        <v>7.7999999999992724</v>
      </c>
      <c r="V9">
        <f>[1]TruckNumbers!V12</f>
        <v>11586.4</v>
      </c>
      <c r="W9">
        <f>[1]TruckNumbers!W12</f>
        <v>0</v>
      </c>
      <c r="X9">
        <f>[1]TruckNumbers!X12</f>
        <v>2</v>
      </c>
    </row>
    <row r="10" spans="1:24" x14ac:dyDescent="0.2">
      <c r="A10" s="13">
        <f>[1]TruckNumbers!A13</f>
        <v>45796</v>
      </c>
      <c r="B10">
        <f>[1]TruckNumbers!B13</f>
        <v>0</v>
      </c>
      <c r="C10" s="29">
        <f>[1]TruckNumbers!C13</f>
        <v>0</v>
      </c>
      <c r="D10" s="4">
        <f>[1]TruckNumbers!E13</f>
        <v>0</v>
      </c>
      <c r="E10" s="30">
        <f>[1]TruckNumbers!D13</f>
        <v>0</v>
      </c>
      <c r="F10" s="4">
        <f>[1]TruckNumbers!G13</f>
        <v>0</v>
      </c>
      <c r="G10" s="33" t="str">
        <f>[1]TruckNumbers!H13</f>
        <v>9/16</v>
      </c>
      <c r="H10" s="4">
        <f>[1]TruckNumbers!I13</f>
        <v>11593.4</v>
      </c>
      <c r="I10" s="4">
        <f>[1]TruckNumbers!F13</f>
        <v>0</v>
      </c>
      <c r="J10" s="4">
        <f>[1]TruckNumbers!J13</f>
        <v>0</v>
      </c>
      <c r="K10" s="4">
        <f>[1]TruckNumbers!K13</f>
        <v>0</v>
      </c>
      <c r="L10" s="31">
        <f>[1]TruckNumbers!L13</f>
        <v>0</v>
      </c>
      <c r="M10">
        <f>[1]TruckNumbers!M13</f>
        <v>0</v>
      </c>
      <c r="N10" t="e">
        <f>[1]TruckNumbers!N13</f>
        <v>#DIV/0!</v>
      </c>
      <c r="O10" s="4">
        <f>[1]TruckNumbers!O13</f>
        <v>0</v>
      </c>
      <c r="P10" s="28" t="e">
        <f>[1]TruckNumbers!P13</f>
        <v>#DIV/0!</v>
      </c>
      <c r="Q10" s="4">
        <f>[1]TruckNumbers!Q13</f>
        <v>4.1989999999999998</v>
      </c>
      <c r="R10" s="4">
        <f>[1]TruckNumbers!R13</f>
        <v>0.5625</v>
      </c>
      <c r="S10" s="4" t="b">
        <f>[1]TruckNumbers!S13</f>
        <v>0</v>
      </c>
      <c r="T10" s="4">
        <f>[1]TruckNumbers!T13</f>
        <v>0</v>
      </c>
      <c r="U10">
        <f>[1]TruckNumbers!U13</f>
        <v>7</v>
      </c>
      <c r="V10">
        <f>[1]TruckNumbers!V13</f>
        <v>11593.4</v>
      </c>
      <c r="W10">
        <f>[1]TruckNumbers!W13</f>
        <v>0</v>
      </c>
      <c r="X10">
        <f>[1]TruckNumbers!X13</f>
        <v>0</v>
      </c>
    </row>
    <row r="11" spans="1:24" x14ac:dyDescent="0.2">
      <c r="A11" s="13">
        <f>[1]TruckNumbers!A14</f>
        <v>45796.706944444442</v>
      </c>
      <c r="B11">
        <f>[1]TruckNumbers!B14</f>
        <v>0</v>
      </c>
      <c r="C11" s="29">
        <f>[1]TruckNumbers!C14</f>
        <v>0</v>
      </c>
      <c r="D11" s="4">
        <f>[1]TruckNumbers!E14</f>
        <v>0</v>
      </c>
      <c r="E11" s="30">
        <f>[1]TruckNumbers!D14</f>
        <v>0</v>
      </c>
      <c r="F11" s="4">
        <f>[1]TruckNumbers!G14</f>
        <v>0</v>
      </c>
      <c r="G11" t="str">
        <f>[1]TruckNumbers!H14</f>
        <v>9/16</v>
      </c>
      <c r="H11" s="4">
        <f>[1]TruckNumbers!I14</f>
        <v>11593.4</v>
      </c>
      <c r="I11" s="4">
        <f>[1]TruckNumbers!F14</f>
        <v>1.1087962962962963E-2</v>
      </c>
      <c r="J11" s="4">
        <f>[1]TruckNumbers!J14</f>
        <v>0</v>
      </c>
      <c r="K11" s="4">
        <f>[1]TruckNumbers!K14</f>
        <v>0</v>
      </c>
      <c r="L11" s="31">
        <f>[1]TruckNumbers!L14</f>
        <v>0</v>
      </c>
      <c r="M11">
        <f>[1]TruckNumbers!M14</f>
        <v>0.26611111111111108</v>
      </c>
      <c r="N11">
        <f>[1]TruckNumbers!N14</f>
        <v>0</v>
      </c>
      <c r="O11" s="4">
        <f>[1]TruckNumbers!O14</f>
        <v>0</v>
      </c>
      <c r="P11" s="28" t="e">
        <f>[1]TruckNumbers!P14</f>
        <v>#DIV/0!</v>
      </c>
      <c r="Q11" s="4">
        <f>[1]TruckNumbers!Q14</f>
        <v>4.1989999999999998</v>
      </c>
      <c r="R11" s="4">
        <f>[1]TruckNumbers!R14</f>
        <v>0.5625</v>
      </c>
      <c r="S11" s="4" t="b">
        <f>[1]TruckNumbers!S14</f>
        <v>0</v>
      </c>
      <c r="T11" s="4">
        <f>[1]TruckNumbers!T14</f>
        <v>0</v>
      </c>
      <c r="U11">
        <f>[1]TruckNumbers!U14</f>
        <v>0</v>
      </c>
      <c r="V11">
        <f>[1]TruckNumbers!V14</f>
        <v>11593.4</v>
      </c>
      <c r="W11">
        <f>[1]TruckNumbers!W14</f>
        <v>0</v>
      </c>
      <c r="X11">
        <f>[1]TruckNumbers!X14</f>
        <v>0</v>
      </c>
    </row>
    <row r="12" spans="1:24" x14ac:dyDescent="0.2">
      <c r="A12" s="34">
        <f>[1]TruckNumbers!A15</f>
        <v>45797.617361111108</v>
      </c>
      <c r="B12">
        <f>[1]TruckNumbers!B15</f>
        <v>0</v>
      </c>
      <c r="C12" s="29">
        <f>[1]TruckNumbers!C15</f>
        <v>0</v>
      </c>
      <c r="D12" s="4">
        <f>[1]TruckNumbers!E15</f>
        <v>19.2</v>
      </c>
      <c r="E12" s="30">
        <f>[1]TruckNumbers!D15</f>
        <v>0</v>
      </c>
      <c r="F12" s="4">
        <f>[1]TruckNumbers!G15</f>
        <v>63.300000000001091</v>
      </c>
      <c r="G12" s="35">
        <f>[1]TruckNumbers!H15</f>
        <v>0.4375</v>
      </c>
      <c r="H12" s="4">
        <f>[1]TruckNumbers!I15</f>
        <v>11656.7</v>
      </c>
      <c r="I12" s="4">
        <f>[1]TruckNumbers!F15</f>
        <v>7.3831018518518518E-2</v>
      </c>
      <c r="J12" s="4">
        <f>[1]TruckNumbers!J15</f>
        <v>0</v>
      </c>
      <c r="K12" s="4">
        <f>[1]TruckNumbers!K15</f>
        <v>0</v>
      </c>
      <c r="L12" s="31">
        <f>[1]TruckNumbers!L15</f>
        <v>0</v>
      </c>
      <c r="M12">
        <f>[1]TruckNumbers!M15</f>
        <v>1.5058333333333334</v>
      </c>
      <c r="N12">
        <f>[1]TruckNumbers!N15</f>
        <v>42.036524626453406</v>
      </c>
      <c r="O12" s="4">
        <f>[1]TruckNumbers!O15</f>
        <v>0</v>
      </c>
      <c r="P12" s="28">
        <f>[1]TruckNumbers!P15</f>
        <v>0</v>
      </c>
      <c r="Q12" s="4">
        <f>[1]TruckNumbers!Q15</f>
        <v>4.1989999999999998</v>
      </c>
      <c r="R12" s="4">
        <f>[1]TruckNumbers!R15</f>
        <v>0.4375</v>
      </c>
      <c r="S12" s="4" t="b">
        <f>[1]TruckNumbers!S15</f>
        <v>0</v>
      </c>
      <c r="T12" s="4">
        <f>[1]TruckNumbers!T15</f>
        <v>0</v>
      </c>
      <c r="U12">
        <f>[1]TruckNumbers!U15</f>
        <v>0</v>
      </c>
      <c r="V12">
        <f>[1]TruckNumbers!V15</f>
        <v>11593.4</v>
      </c>
      <c r="W12">
        <f>[1]TruckNumbers!W15</f>
        <v>0</v>
      </c>
      <c r="X12">
        <f>[1]TruckNumbers!X15</f>
        <v>4</v>
      </c>
    </row>
    <row r="13" spans="1:24" x14ac:dyDescent="0.2">
      <c r="A13" s="34" t="str">
        <f>[1]TruckNumbers!A16</f>
        <v>5/21/25 at 9:43 AM</v>
      </c>
      <c r="B13">
        <f>[1]TruckNumbers!B16</f>
        <v>0</v>
      </c>
      <c r="C13" s="29">
        <f>[1]TruckNumbers!C16</f>
        <v>0</v>
      </c>
      <c r="D13" s="4">
        <f>[1]TruckNumbers!E16</f>
        <v>19.8</v>
      </c>
      <c r="E13" s="30">
        <f>[1]TruckNumbers!D16</f>
        <v>0</v>
      </c>
      <c r="F13" s="4">
        <f>[1]TruckNumbers!G16</f>
        <v>21.299999999999272</v>
      </c>
      <c r="G13" s="36">
        <f>[1]TruckNumbers!H16</f>
        <v>0.375</v>
      </c>
      <c r="H13" s="4">
        <f>[1]TruckNumbers!I16</f>
        <v>11678</v>
      </c>
      <c r="I13" s="4">
        <f>[1]TruckNumbers!F16</f>
        <v>3.1770833333333331E-2</v>
      </c>
      <c r="J13" s="4">
        <f>[1]TruckNumbers!J16</f>
        <v>0</v>
      </c>
      <c r="K13" s="4">
        <f>[1]TruckNumbers!K16</f>
        <v>0</v>
      </c>
      <c r="L13" s="31">
        <f>[1]TruckNumbers!L16</f>
        <v>0</v>
      </c>
      <c r="M13">
        <f>[1]TruckNumbers!M16</f>
        <v>0.76249999999999996</v>
      </c>
      <c r="N13">
        <f>[1]TruckNumbers!N16</f>
        <v>27.934426229507245</v>
      </c>
      <c r="O13" s="4">
        <f>[1]TruckNumbers!O16</f>
        <v>0</v>
      </c>
      <c r="P13" s="28">
        <f>[1]TruckNumbers!P16</f>
        <v>0</v>
      </c>
      <c r="Q13" s="4">
        <f>[1]TruckNumbers!Q16</f>
        <v>4.1989999999999998</v>
      </c>
      <c r="R13" s="4">
        <f>[1]TruckNumbers!R16</f>
        <v>0.375</v>
      </c>
      <c r="S13" s="4" t="b">
        <f>[1]TruckNumbers!S16</f>
        <v>0</v>
      </c>
      <c r="T13" s="4">
        <f>[1]TruckNumbers!T16</f>
        <v>0</v>
      </c>
      <c r="U13">
        <f>[1]TruckNumbers!U16</f>
        <v>63.300000000001091</v>
      </c>
      <c r="V13">
        <f>[1]TruckNumbers!V16</f>
        <v>11656.7</v>
      </c>
      <c r="W13">
        <f>[1]TruckNumbers!W16</f>
        <v>0</v>
      </c>
      <c r="X13">
        <f>[1]TruckNumbers!X16</f>
        <v>2</v>
      </c>
    </row>
    <row r="14" spans="1:24" x14ac:dyDescent="0.2">
      <c r="A14">
        <f>[1]TruckNumbers!A17</f>
        <v>45798.759027777778</v>
      </c>
      <c r="B14">
        <f>[1]TruckNumbers!B17</f>
        <v>0</v>
      </c>
      <c r="C14" s="29">
        <f>[1]TruckNumbers!C17</f>
        <v>0</v>
      </c>
      <c r="D14" s="4">
        <f>[1]TruckNumbers!E17</f>
        <v>18.7</v>
      </c>
      <c r="E14" s="30">
        <f>[1]TruckNumbers!D17</f>
        <v>0</v>
      </c>
      <c r="F14" s="4">
        <f>[1]TruckNumbers!G17</f>
        <v>12.100000000000364</v>
      </c>
      <c r="G14" s="33">
        <f>[1]TruckNumbers!H17</f>
        <v>0.375</v>
      </c>
      <c r="H14" s="4">
        <f>[1]TruckNumbers!I17</f>
        <v>11690.1</v>
      </c>
      <c r="I14" s="4">
        <f>[1]TruckNumbers!F17</f>
        <v>4.3425925925925923E-2</v>
      </c>
      <c r="J14" s="4">
        <f>[1]TruckNumbers!J17</f>
        <v>0</v>
      </c>
      <c r="K14" s="4">
        <f>[1]TruckNumbers!K17</f>
        <v>0</v>
      </c>
      <c r="L14" s="31">
        <f>[1]TruckNumbers!L17</f>
        <v>0</v>
      </c>
      <c r="M14">
        <f>[1]TruckNumbers!M17</f>
        <v>0.27972222222222221</v>
      </c>
      <c r="N14">
        <f>[1]TruckNumbers!N17</f>
        <v>43.257199602781839</v>
      </c>
      <c r="O14" s="4">
        <f>[1]TruckNumbers!O17</f>
        <v>0</v>
      </c>
      <c r="P14" s="28">
        <f>[1]TruckNumbers!P17</f>
        <v>0</v>
      </c>
      <c r="Q14" s="4">
        <f>[1]TruckNumbers!Q17</f>
        <v>4.1989999999999998</v>
      </c>
      <c r="R14" s="4">
        <f>[1]TruckNumbers!R17</f>
        <v>0.375</v>
      </c>
      <c r="S14" s="4" t="b">
        <f>[1]TruckNumbers!S17</f>
        <v>0</v>
      </c>
      <c r="T14" s="4">
        <f>[1]TruckNumbers!T17</f>
        <v>0</v>
      </c>
      <c r="U14">
        <f>[1]TruckNumbers!U17</f>
        <v>21.299999999999272</v>
      </c>
      <c r="V14">
        <f>[1]TruckNumbers!V17</f>
        <v>11678</v>
      </c>
      <c r="W14">
        <f>[1]TruckNumbers!W17</f>
        <v>0</v>
      </c>
      <c r="X14">
        <f>[1]TruckNumbers!X17</f>
        <v>0</v>
      </c>
    </row>
    <row r="15" spans="1:24" x14ac:dyDescent="0.2">
      <c r="A15" s="34">
        <f>[1]TruckNumbers!A18</f>
        <v>45798</v>
      </c>
      <c r="B15">
        <f>[1]TruckNumbers!B18</f>
        <v>0</v>
      </c>
      <c r="C15" s="29">
        <f>[1]TruckNumbers!C18</f>
        <v>0</v>
      </c>
      <c r="D15" s="4">
        <f>[1]TruckNumbers!E18</f>
        <v>15.3</v>
      </c>
      <c r="E15" s="30">
        <f>[1]TruckNumbers!D18</f>
        <v>0</v>
      </c>
      <c r="F15" s="4">
        <f>[1]TruckNumbers!G18</f>
        <v>15.899999999999636</v>
      </c>
      <c r="G15">
        <f>[1]TruckNumbers!H18</f>
        <v>0.375</v>
      </c>
      <c r="H15" s="4">
        <f>[1]TruckNumbers!I18</f>
        <v>11706</v>
      </c>
      <c r="I15" s="4">
        <f>[1]TruckNumbers!F18</f>
        <v>3.7465277777777778E-2</v>
      </c>
      <c r="J15" s="4">
        <f>[1]TruckNumbers!J18</f>
        <v>0</v>
      </c>
      <c r="K15" s="4">
        <f>[1]TruckNumbers!K18</f>
        <v>0</v>
      </c>
      <c r="L15" s="31">
        <f>[1]TruckNumbers!L18</f>
        <v>0</v>
      </c>
      <c r="M15">
        <f>[1]TruckNumbers!M18</f>
        <v>0.89916666666666667</v>
      </c>
      <c r="N15">
        <f>[1]TruckNumbers!N18</f>
        <v>17.683039851714145</v>
      </c>
      <c r="O15" s="4">
        <f>[1]TruckNumbers!O18</f>
        <v>0</v>
      </c>
      <c r="P15" s="28">
        <f>[1]TruckNumbers!P18</f>
        <v>0</v>
      </c>
      <c r="Q15" s="4">
        <f>[1]TruckNumbers!Q18</f>
        <v>4.1989999999999998</v>
      </c>
      <c r="R15" s="4">
        <f>[1]TruckNumbers!R18</f>
        <v>0.375</v>
      </c>
      <c r="S15" s="4" t="b">
        <f>[1]TruckNumbers!S18</f>
        <v>0</v>
      </c>
      <c r="T15" s="4">
        <f>[1]TruckNumbers!T18</f>
        <v>0</v>
      </c>
      <c r="U15">
        <f>[1]TruckNumbers!U18</f>
        <v>12.100000000000364</v>
      </c>
      <c r="V15">
        <f>[1]TruckNumbers!V18</f>
        <v>11690.1</v>
      </c>
      <c r="W15">
        <f>[1]TruckNumbers!W18</f>
        <v>0</v>
      </c>
      <c r="X15">
        <f>[1]TruckNumbers!X18</f>
        <v>0</v>
      </c>
    </row>
    <row r="16" spans="1:24" x14ac:dyDescent="0.2">
      <c r="A16" s="13">
        <f>[1]TruckNumbers!A19</f>
        <v>45799.320833333331</v>
      </c>
      <c r="B16">
        <f>[1]TruckNumbers!B19</f>
        <v>0</v>
      </c>
      <c r="C16" s="29">
        <f>[1]TruckNumbers!C19</f>
        <v>0</v>
      </c>
      <c r="D16" s="4">
        <f>[1]TruckNumbers!E19</f>
        <v>14.4</v>
      </c>
      <c r="E16" s="30">
        <f>[1]TruckNumbers!D19</f>
        <v>0</v>
      </c>
      <c r="F16" s="4">
        <f>[1]TruckNumbers!G19</f>
        <v>3.5</v>
      </c>
      <c r="G16">
        <f>[1]TruckNumbers!H19</f>
        <v>0.375</v>
      </c>
      <c r="H16" s="4">
        <f>[1]TruckNumbers!I19</f>
        <v>11709.5</v>
      </c>
      <c r="I16" s="4">
        <f>[1]TruckNumbers!F19</f>
        <v>4.6759259259259257E-2</v>
      </c>
      <c r="J16" s="4">
        <f>[1]TruckNumbers!J19</f>
        <v>0</v>
      </c>
      <c r="K16" s="4">
        <f>[1]TruckNumbers!K19</f>
        <v>0</v>
      </c>
      <c r="L16" s="31">
        <f>[1]TruckNumbers!L19</f>
        <v>0</v>
      </c>
      <c r="M16">
        <f>[1]TruckNumbers!M19</f>
        <v>0.22305555555555551</v>
      </c>
      <c r="N16">
        <f>[1]TruckNumbers!N19</f>
        <v>15.691158156911586</v>
      </c>
      <c r="O16" s="4">
        <f>[1]TruckNumbers!O19</f>
        <v>0</v>
      </c>
      <c r="P16" s="28">
        <f>[1]TruckNumbers!P19</f>
        <v>0</v>
      </c>
      <c r="Q16" s="4">
        <f>[1]TruckNumbers!Q19</f>
        <v>4.1989999999999998</v>
      </c>
      <c r="R16" s="4">
        <f>[1]TruckNumbers!R19</f>
        <v>0.375</v>
      </c>
      <c r="S16" s="4" t="b">
        <f>[1]TruckNumbers!S19</f>
        <v>0</v>
      </c>
      <c r="T16" s="4">
        <f>[1]TruckNumbers!T19</f>
        <v>0</v>
      </c>
      <c r="U16">
        <f>[1]TruckNumbers!U19</f>
        <v>15.899999999999636</v>
      </c>
      <c r="V16">
        <f>[1]TruckNumbers!V19</f>
        <v>11706</v>
      </c>
      <c r="W16">
        <f>[1]TruckNumbers!W19</f>
        <v>0</v>
      </c>
      <c r="X16">
        <f>[1]TruckNumbers!X19</f>
        <v>0</v>
      </c>
    </row>
    <row r="17" spans="1:24" x14ac:dyDescent="0.2">
      <c r="A17" s="34">
        <f>[1]TruckNumbers!A20</f>
        <v>45799.326388888891</v>
      </c>
      <c r="B17">
        <f>[1]TruckNumbers!B20</f>
        <v>0</v>
      </c>
      <c r="C17" s="29" t="str">
        <f>[1]TruckNumbers!C20</f>
        <v>Idle?</v>
      </c>
      <c r="D17" s="4">
        <f>[1]TruckNumbers!E20</f>
        <v>14.4</v>
      </c>
      <c r="E17" s="30">
        <f>[1]TruckNumbers!D20</f>
        <v>0</v>
      </c>
      <c r="F17" s="4">
        <f>[1]TruckNumbers!G20</f>
        <v>0</v>
      </c>
      <c r="G17">
        <f>[1]TruckNumbers!H20</f>
        <v>1</v>
      </c>
      <c r="H17" s="4">
        <f>[1]TruckNumbers!I20</f>
        <v>11709.5</v>
      </c>
      <c r="I17" s="4">
        <f>[1]TruckNumbers!F20</f>
        <v>4.6759259259259257E-2</v>
      </c>
      <c r="J17" s="4">
        <f>[1]TruckNumbers!J20</f>
        <v>0</v>
      </c>
      <c r="K17" s="4">
        <f>[1]TruckNumbers!K20</f>
        <v>0</v>
      </c>
      <c r="L17" s="31">
        <f>[1]TruckNumbers!L20</f>
        <v>0</v>
      </c>
      <c r="M17">
        <f>[1]TruckNumbers!M20</f>
        <v>1.1222222222222222</v>
      </c>
      <c r="N17">
        <f>[1]TruckNumbers!N20</f>
        <v>0</v>
      </c>
      <c r="O17" s="4">
        <f>[1]TruckNumbers!O20</f>
        <v>0</v>
      </c>
      <c r="P17" s="28" t="e">
        <f>[1]TruckNumbers!P20</f>
        <v>#DIV/0!</v>
      </c>
      <c r="Q17" s="4">
        <f>[1]TruckNumbers!Q20</f>
        <v>4.1989999999999998</v>
      </c>
      <c r="R17" s="4">
        <f>[1]TruckNumbers!R20</f>
        <v>1</v>
      </c>
      <c r="S17" s="4" t="b">
        <f>[1]TruckNumbers!S20</f>
        <v>0</v>
      </c>
      <c r="T17" s="4">
        <f>[1]TruckNumbers!T20</f>
        <v>0</v>
      </c>
      <c r="U17">
        <f>[1]TruckNumbers!U20</f>
        <v>3.5</v>
      </c>
      <c r="V17">
        <f>[1]TruckNumbers!V20</f>
        <v>11709.5</v>
      </c>
      <c r="W17">
        <f>[1]TruckNumbers!W20</f>
        <v>0</v>
      </c>
      <c r="X17">
        <f>[1]TruckNumbers!X20</f>
        <v>-20</v>
      </c>
    </row>
    <row r="18" spans="1:24" x14ac:dyDescent="0.2">
      <c r="A18" s="34">
        <f>[1]TruckNumbers!A21</f>
        <v>45805.549305555556</v>
      </c>
      <c r="B18" t="str">
        <f>[1]TruckNumbers!B21</f>
        <v>standard</v>
      </c>
      <c r="C18" s="29" t="str">
        <f>[1]TruckNumbers!C21</f>
        <v>High Tech Collision, Corwin Ford, other places in Reno</v>
      </c>
      <c r="D18" s="4">
        <f>[1]TruckNumbers!E21</f>
        <v>20.399999999999999</v>
      </c>
      <c r="E18" s="30">
        <f>[1]TruckNumbers!D21</f>
        <v>0</v>
      </c>
      <c r="F18" s="4">
        <f>[1]TruckNumbers!G21</f>
        <v>128.6</v>
      </c>
      <c r="G18">
        <f>[1]TruckNumbers!H21</f>
        <v>0.8125</v>
      </c>
      <c r="H18" s="4">
        <f>[1]TruckNumbers!I21</f>
        <v>11838.2</v>
      </c>
      <c r="I18" s="4">
        <f>[1]TruckNumbers!F21</f>
        <v>0.14280092592592591</v>
      </c>
      <c r="J18" s="4">
        <f>[1]TruckNumbers!J21</f>
        <v>0</v>
      </c>
      <c r="K18" s="4">
        <f>[1]TruckNumbers!K21</f>
        <v>0</v>
      </c>
      <c r="L18" s="31">
        <f>[1]TruckNumbers!L21</f>
        <v>0</v>
      </c>
      <c r="M18">
        <f>[1]TruckNumbers!M21</f>
        <v>2.3049999999999997</v>
      </c>
      <c r="N18">
        <f>[1]TruckNumbers!N21</f>
        <v>55.791757049891544</v>
      </c>
      <c r="O18" s="4">
        <f>[1]TruckNumbers!O21</f>
        <v>0</v>
      </c>
      <c r="P18" s="28">
        <f>[1]TruckNumbers!P21</f>
        <v>0</v>
      </c>
      <c r="Q18" s="4">
        <f>[1]TruckNumbers!Q21</f>
        <v>4.1989999999999998</v>
      </c>
      <c r="R18" s="4">
        <f>[1]TruckNumbers!R21</f>
        <v>0.8125</v>
      </c>
      <c r="S18" s="4" t="b">
        <f>[1]TruckNumbers!S21</f>
        <v>0</v>
      </c>
      <c r="T18" s="4">
        <f>[1]TruckNumbers!T21</f>
        <v>0</v>
      </c>
      <c r="U18">
        <f>[1]TruckNumbers!U21</f>
        <v>0</v>
      </c>
      <c r="V18">
        <f>[1]TruckNumbers!V21</f>
        <v>11709.5</v>
      </c>
      <c r="W18">
        <f>[1]TruckNumbers!W21</f>
        <v>0.10000000000073328</v>
      </c>
      <c r="X18">
        <f>[1]TruckNumbers!X21</f>
        <v>6</v>
      </c>
    </row>
    <row r="19" spans="1:24" x14ac:dyDescent="0.2">
      <c r="A19">
        <f>[1]TruckNumbers!A22</f>
        <v>45807.8</v>
      </c>
      <c r="B19" t="str">
        <f>[1]TruckNumbers!B22</f>
        <v>Standard</v>
      </c>
      <c r="C19" s="29">
        <f>[1]TruckNumbers!C22</f>
        <v>0</v>
      </c>
      <c r="D19" s="4">
        <f>[1]TruckNumbers!E22</f>
        <v>21</v>
      </c>
      <c r="E19" s="30">
        <f>[1]TruckNumbers!D22</f>
        <v>0</v>
      </c>
      <c r="F19" s="4">
        <f>[1]TruckNumbers!G22</f>
        <v>116.3</v>
      </c>
      <c r="G19">
        <f>[1]TruckNumbers!H22</f>
        <v>0.625</v>
      </c>
      <c r="H19" s="4">
        <f>[1]TruckNumbers!I22</f>
        <v>11954.5</v>
      </c>
      <c r="I19" s="4">
        <f>[1]TruckNumbers!F22</f>
        <v>0.10643518518518519</v>
      </c>
      <c r="J19" s="4">
        <f>[1]TruckNumbers!J22</f>
        <v>0</v>
      </c>
      <c r="K19" s="4">
        <f>[1]TruckNumbers!K22</f>
        <v>0</v>
      </c>
      <c r="L19" s="31">
        <f>[1]TruckNumbers!L22</f>
        <v>0</v>
      </c>
      <c r="M19">
        <f>[1]TruckNumbers!M22</f>
        <v>2.5544444444444445</v>
      </c>
      <c r="N19">
        <f>[1]TruckNumbers!N22</f>
        <v>45.528490648107869</v>
      </c>
      <c r="O19" s="4">
        <f>[1]TruckNumbers!O22</f>
        <v>0</v>
      </c>
      <c r="P19" s="28">
        <f>[1]TruckNumbers!P22</f>
        <v>0</v>
      </c>
      <c r="Q19" s="4">
        <f>[1]TruckNumbers!Q22</f>
        <v>4.1989999999999998</v>
      </c>
      <c r="R19" s="4">
        <f>[1]TruckNumbers!R22</f>
        <v>0.625</v>
      </c>
      <c r="S19" s="4" t="b">
        <f>[1]TruckNumbers!S22</f>
        <v>0</v>
      </c>
      <c r="T19" s="4">
        <f>[1]TruckNumbers!T22</f>
        <v>0</v>
      </c>
      <c r="U19">
        <f>[1]TruckNumbers!U22</f>
        <v>128.70000000000073</v>
      </c>
      <c r="V19">
        <f>[1]TruckNumbers!V22</f>
        <v>11838.1</v>
      </c>
      <c r="W19">
        <f>[1]TruckNumbers!W22</f>
        <v>7.2475359047530219E-13</v>
      </c>
      <c r="X19">
        <f>[1]TruckNumbers!X22</f>
        <v>6</v>
      </c>
    </row>
    <row r="20" spans="1:24" x14ac:dyDescent="0.2">
      <c r="A20">
        <f>[1]TruckNumbers!A23</f>
        <v>45808.36041666667</v>
      </c>
      <c r="B20" t="str">
        <f>[1]TruckNumbers!B23</f>
        <v>standard</v>
      </c>
      <c r="C20" s="29" t="str">
        <f>[1]TruckNumbers!C23</f>
        <v>Aland dentistry</v>
      </c>
      <c r="D20" s="4">
        <f>[1]TruckNumbers!E23</f>
        <v>4.3</v>
      </c>
      <c r="E20" s="30">
        <f>[1]TruckNumbers!D23</f>
        <v>0</v>
      </c>
      <c r="F20" s="4">
        <f>[1]TruckNumbers!G23</f>
        <v>0.7</v>
      </c>
      <c r="G20">
        <f>[1]TruckNumbers!H23</f>
        <v>0.625</v>
      </c>
      <c r="H20" s="4">
        <f>[1]TruckNumbers!I23</f>
        <v>11955.3</v>
      </c>
      <c r="I20" s="4">
        <f>[1]TruckNumbers!F23</f>
        <v>1.0416666666666666E-2</v>
      </c>
      <c r="J20" s="4">
        <f>[1]TruckNumbers!J23</f>
        <v>0</v>
      </c>
      <c r="K20" s="4">
        <f>[1]TruckNumbers!K23</f>
        <v>0</v>
      </c>
      <c r="L20" s="31">
        <f>[1]TruckNumbers!L23</f>
        <v>0</v>
      </c>
      <c r="M20">
        <f>[1]TruckNumbers!M23</f>
        <v>0.25</v>
      </c>
      <c r="N20">
        <f>[1]TruckNumbers!N23</f>
        <v>2.8</v>
      </c>
      <c r="O20" s="4">
        <f>[1]TruckNumbers!O23</f>
        <v>0</v>
      </c>
      <c r="P20" s="28">
        <f>[1]TruckNumbers!P23</f>
        <v>0</v>
      </c>
      <c r="Q20" s="4">
        <f>[1]TruckNumbers!Q23</f>
        <v>4.1989999999999998</v>
      </c>
      <c r="R20" s="4">
        <f>[1]TruckNumbers!R23</f>
        <v>0.625</v>
      </c>
      <c r="S20" s="4" t="b">
        <f>[1]TruckNumbers!S23</f>
        <v>0</v>
      </c>
      <c r="T20" s="4">
        <f>[1]TruckNumbers!T23</f>
        <v>0</v>
      </c>
      <c r="U20">
        <f>[1]TruckNumbers!U23</f>
        <v>116.29999999999927</v>
      </c>
      <c r="V20">
        <f>[1]TruckNumbers!V23</f>
        <v>11954.5</v>
      </c>
      <c r="W20">
        <f>[1]TruckNumbers!W23</f>
        <v>9.9999999999272449E-2</v>
      </c>
      <c r="X20">
        <f>[1]TruckNumbers!X23</f>
        <v>0</v>
      </c>
    </row>
    <row r="21" spans="1:24" x14ac:dyDescent="0.2">
      <c r="A21">
        <f>[1]TruckNumbers!A24</f>
        <v>45808.822222222225</v>
      </c>
      <c r="B21" t="str">
        <f>[1]TruckNumbers!B24</f>
        <v>standard</v>
      </c>
      <c r="C21" s="29">
        <f>[1]TruckNumbers!C24</f>
        <v>0</v>
      </c>
      <c r="D21" s="4">
        <f>[1]TruckNumbers!E24</f>
        <v>17.5</v>
      </c>
      <c r="E21" s="30">
        <f>[1]TruckNumbers!D24</f>
        <v>0</v>
      </c>
      <c r="F21" s="4">
        <f>[1]TruckNumbers!G24</f>
        <v>26.8</v>
      </c>
      <c r="G21">
        <f>[1]TruckNumbers!H24</f>
        <v>0.5625</v>
      </c>
      <c r="H21" s="4">
        <f>[1]TruckNumbers!I24</f>
        <v>11982.2</v>
      </c>
      <c r="I21" s="4">
        <f>[1]TruckNumbers!F24</f>
        <v>2.6412037037037036E-2</v>
      </c>
      <c r="J21" s="4">
        <f>[1]TruckNumbers!J24</f>
        <v>0</v>
      </c>
      <c r="K21" s="4">
        <f>[1]TruckNumbers!K24</f>
        <v>0</v>
      </c>
      <c r="L21" s="31">
        <f>[1]TruckNumbers!L24</f>
        <v>0.7</v>
      </c>
      <c r="M21">
        <f>[1]TruckNumbers!M24</f>
        <v>0.38388888888888884</v>
      </c>
      <c r="N21">
        <f>[1]TruckNumbers!N24</f>
        <v>69.811866859623748</v>
      </c>
      <c r="O21" s="4">
        <f>[1]TruckNumbers!O24</f>
        <v>0</v>
      </c>
      <c r="P21" s="28">
        <f>[1]TruckNumbers!P24</f>
        <v>0</v>
      </c>
      <c r="Q21" s="4">
        <f>[1]TruckNumbers!Q24</f>
        <v>4.1989999999999998</v>
      </c>
      <c r="R21" s="4">
        <f>[1]TruckNumbers!R24</f>
        <v>0.5625</v>
      </c>
      <c r="S21" s="4" t="b">
        <f>[1]TruckNumbers!S24</f>
        <v>0</v>
      </c>
      <c r="T21" s="4">
        <f>[1]TruckNumbers!T24</f>
        <v>0</v>
      </c>
      <c r="U21">
        <f>[1]TruckNumbers!U24</f>
        <v>0.7999999999992724</v>
      </c>
      <c r="V21">
        <f>[1]TruckNumbers!V24</f>
        <v>11955.2</v>
      </c>
      <c r="W21">
        <f>[1]TruckNumbers!W24</f>
        <v>0.10000000000145448</v>
      </c>
      <c r="X21">
        <f>[1]TruckNumbers!X24</f>
        <v>2</v>
      </c>
    </row>
    <row r="22" spans="1:24" x14ac:dyDescent="0.2">
      <c r="A22">
        <f>[1]TruckNumbers!A25</f>
        <v>45809.424305555556</v>
      </c>
      <c r="B22" t="str">
        <f>[1]TruckNumbers!B25</f>
        <v>standard</v>
      </c>
      <c r="C22" s="29">
        <f>[1]TruckNumbers!C25</f>
        <v>0</v>
      </c>
      <c r="D22" s="4">
        <f>[1]TruckNumbers!E25</f>
        <v>13</v>
      </c>
      <c r="E22" s="30">
        <f>[1]TruckNumbers!D25</f>
        <v>0</v>
      </c>
      <c r="F22" s="4">
        <f>[1]TruckNumbers!G25</f>
        <v>13.3</v>
      </c>
      <c r="G22">
        <f>[1]TruckNumbers!H25</f>
        <v>0.5</v>
      </c>
      <c r="H22" s="4">
        <f>[1]TruckNumbers!I25</f>
        <v>11995.5</v>
      </c>
      <c r="I22" s="4">
        <f>[1]TruckNumbers!F25</f>
        <v>3.8703703703703705E-2</v>
      </c>
      <c r="J22" s="4">
        <f>[1]TruckNumbers!J25</f>
        <v>0</v>
      </c>
      <c r="K22" s="4">
        <f>[1]TruckNumbers!K25</f>
        <v>0</v>
      </c>
      <c r="L22" s="31">
        <f>[1]TruckNumbers!L25</f>
        <v>0</v>
      </c>
      <c r="M22">
        <f>[1]TruckNumbers!M25</f>
        <v>0.29500000000000004</v>
      </c>
      <c r="N22">
        <f>[1]TruckNumbers!N25</f>
        <v>45.084745762711862</v>
      </c>
      <c r="O22" s="4">
        <f>[1]TruckNumbers!O25</f>
        <v>0</v>
      </c>
      <c r="P22" s="28">
        <f>[1]TruckNumbers!P25</f>
        <v>0</v>
      </c>
      <c r="Q22" s="4">
        <f>[1]TruckNumbers!Q25</f>
        <v>4.1989999999999998</v>
      </c>
      <c r="R22" s="4">
        <f>[1]TruckNumbers!R25</f>
        <v>0.5</v>
      </c>
      <c r="S22" s="4" t="b">
        <f>[1]TruckNumbers!S25</f>
        <v>0</v>
      </c>
      <c r="T22" s="4">
        <f>[1]TruckNumbers!T25</f>
        <v>0</v>
      </c>
      <c r="U22">
        <f>[1]TruckNumbers!U25</f>
        <v>26.900000000001455</v>
      </c>
      <c r="V22">
        <f>[1]TruckNumbers!V25</f>
        <v>11982.099999999999</v>
      </c>
      <c r="W22">
        <f>[1]TruckNumbers!W25</f>
        <v>7.2830630415410269E-13</v>
      </c>
      <c r="X22">
        <f>[1]TruckNumbers!X25</f>
        <v>2</v>
      </c>
    </row>
    <row r="23" spans="1:24" x14ac:dyDescent="0.2">
      <c r="A23">
        <f>[1]TruckNumbers!A26</f>
        <v>45809.451388888891</v>
      </c>
      <c r="B23" t="str">
        <f>[1]TruckNumbers!B26</f>
        <v>standard</v>
      </c>
      <c r="C23" s="29">
        <f>[1]TruckNumbers!C26</f>
        <v>0</v>
      </c>
      <c r="D23" s="4">
        <f>[1]TruckNumbers!E26</f>
        <v>17.3</v>
      </c>
      <c r="E23" s="30">
        <f>[1]TruckNumbers!D26</f>
        <v>0</v>
      </c>
      <c r="F23" s="4">
        <f>[1]TruckNumbers!G26</f>
        <v>12</v>
      </c>
      <c r="G23">
        <f>[1]TruckNumbers!H26</f>
        <v>0.4375</v>
      </c>
      <c r="H23" s="4">
        <f>[1]TruckNumbers!I26</f>
        <v>12007.6</v>
      </c>
      <c r="I23" s="4">
        <f>[1]TruckNumbers!F26</f>
        <v>2.1134259259259259E-2</v>
      </c>
      <c r="J23" s="4">
        <f>[1]TruckNumbers!J26</f>
        <v>0</v>
      </c>
      <c r="K23" s="4">
        <f>[1]TruckNumbers!K26</f>
        <v>0</v>
      </c>
      <c r="L23" s="31">
        <f>[1]TruckNumbers!L26</f>
        <v>0</v>
      </c>
      <c r="M23">
        <f>[1]TruckNumbers!M26</f>
        <v>0.50722222222222224</v>
      </c>
      <c r="N23">
        <f>[1]TruckNumbers!N26</f>
        <v>23.65826944140197</v>
      </c>
      <c r="O23" s="4">
        <f>[1]TruckNumbers!O26</f>
        <v>0</v>
      </c>
      <c r="P23" s="28">
        <f>[1]TruckNumbers!P26</f>
        <v>0</v>
      </c>
      <c r="Q23" s="4">
        <f>[1]TruckNumbers!Q26</f>
        <v>4.1989999999999998</v>
      </c>
      <c r="R23" s="4">
        <f>[1]TruckNumbers!R26</f>
        <v>0.4375</v>
      </c>
      <c r="S23" s="4" t="b">
        <f>[1]TruckNumbers!S26</f>
        <v>0</v>
      </c>
      <c r="T23" s="4">
        <f>[1]TruckNumbers!T26</f>
        <v>0</v>
      </c>
      <c r="U23">
        <f>[1]TruckNumbers!U26</f>
        <v>13.299999999999272</v>
      </c>
      <c r="V23">
        <f>[1]TruckNumbers!V26</f>
        <v>11995.5</v>
      </c>
      <c r="W23">
        <f>[1]TruckNumbers!W26</f>
        <v>0.1000000000003638</v>
      </c>
      <c r="X23">
        <f>[1]TruckNumbers!X26</f>
        <v>2</v>
      </c>
    </row>
    <row r="24" spans="1:24" x14ac:dyDescent="0.2">
      <c r="A24">
        <f>[1]TruckNumbers!A27</f>
        <v>45809.71597222222</v>
      </c>
      <c r="B24" t="str">
        <f>[1]TruckNumbers!B27</f>
        <v>standard</v>
      </c>
      <c r="C24" s="29">
        <f>[1]TruckNumbers!C27</f>
        <v>0</v>
      </c>
      <c r="D24" s="4">
        <f>[1]TruckNumbers!E27</f>
        <v>16</v>
      </c>
      <c r="E24" s="30">
        <f>[1]TruckNumbers!D27</f>
        <v>0</v>
      </c>
      <c r="F24" s="4">
        <f>[1]TruckNumbers!G27</f>
        <v>69.099999999999994</v>
      </c>
      <c r="G24">
        <f>[1]TruckNumbers!H27</f>
        <v>0.375</v>
      </c>
      <c r="H24" s="4">
        <f>[1]TruckNumbers!I27</f>
        <v>12064.7</v>
      </c>
      <c r="I24" s="4">
        <f>[1]TruckNumbers!F27</f>
        <v>9.9421296296296299E-2</v>
      </c>
      <c r="J24" s="4">
        <f>[1]TruckNumbers!J27</f>
        <v>0</v>
      </c>
      <c r="K24" s="4">
        <f>[1]TruckNumbers!K27</f>
        <v>0</v>
      </c>
      <c r="L24" s="31">
        <f>[1]TruckNumbers!L27</f>
        <v>12</v>
      </c>
      <c r="M24">
        <f>[1]TruckNumbers!M27</f>
        <v>1.8788888888888891</v>
      </c>
      <c r="N24">
        <f>[1]TruckNumbers!N27</f>
        <v>36.777054997043166</v>
      </c>
      <c r="O24" s="4">
        <f>[1]TruckNumbers!O27</f>
        <v>0</v>
      </c>
      <c r="P24" s="28">
        <f>[1]TruckNumbers!P27</f>
        <v>0</v>
      </c>
      <c r="Q24" s="4">
        <f>[1]TruckNumbers!Q27</f>
        <v>4.1989999999999998</v>
      </c>
      <c r="R24" s="4">
        <f>[1]TruckNumbers!R27</f>
        <v>0.375</v>
      </c>
      <c r="S24" s="4" t="b">
        <f>[1]TruckNumbers!S27</f>
        <v>1</v>
      </c>
      <c r="T24" s="4">
        <f>[1]TruckNumbers!T27</f>
        <v>7.8287037037037044E-2</v>
      </c>
      <c r="U24">
        <f>[1]TruckNumbers!U27</f>
        <v>12.100000000000364</v>
      </c>
      <c r="V24">
        <f>[1]TruckNumbers!V27</f>
        <v>12007.5</v>
      </c>
      <c r="W24">
        <f>[1]TruckNumbers!W27</f>
        <v>11.999999999999631</v>
      </c>
      <c r="X24">
        <f>[1]TruckNumbers!X27</f>
        <v>2</v>
      </c>
    </row>
    <row r="25" spans="1:24" x14ac:dyDescent="0.2">
      <c r="A25">
        <f>[1]TruckNumbers!A28</f>
        <v>45810.293055555558</v>
      </c>
      <c r="B25" t="str">
        <f>[1]TruckNumbers!B28</f>
        <v>standard</v>
      </c>
      <c r="C25" s="29">
        <f>[1]TruckNumbers!C28</f>
        <v>0</v>
      </c>
      <c r="D25" s="4">
        <f>[1]TruckNumbers!E28</f>
        <v>19.600000000000001</v>
      </c>
      <c r="E25" s="30">
        <f>[1]TruckNumbers!D28</f>
        <v>0</v>
      </c>
      <c r="F25" s="4">
        <f>[1]TruckNumbers!G28</f>
        <v>118.7</v>
      </c>
      <c r="G25">
        <f>[1]TruckNumbers!H28</f>
        <v>0.1875</v>
      </c>
      <c r="H25" s="4">
        <f>[1]TruckNumbers!I28</f>
        <v>12183.5</v>
      </c>
      <c r="I25" s="4">
        <f>[1]TruckNumbers!F28</f>
        <v>0.13636574074074073</v>
      </c>
      <c r="J25" s="4">
        <f>[1]TruckNumbers!J28</f>
        <v>0</v>
      </c>
      <c r="K25" s="4">
        <f>[1]TruckNumbers!K28</f>
        <v>0</v>
      </c>
      <c r="L25" s="31">
        <f>[1]TruckNumbers!L28</f>
        <v>69.099999999999994</v>
      </c>
      <c r="M25">
        <f>[1]TruckNumbers!M28</f>
        <v>3.25</v>
      </c>
      <c r="N25">
        <f>[1]TruckNumbers!N28</f>
        <v>36.523076923076921</v>
      </c>
      <c r="O25" s="4">
        <f>[1]TruckNumbers!O28</f>
        <v>0</v>
      </c>
      <c r="P25" s="28">
        <f>[1]TruckNumbers!P28</f>
        <v>0</v>
      </c>
      <c r="Q25" s="4">
        <f>[1]TruckNumbers!Q28</f>
        <v>4.1989999999999998</v>
      </c>
      <c r="R25" s="4">
        <f>[1]TruckNumbers!R28</f>
        <v>0.1875</v>
      </c>
      <c r="S25" s="4" t="b">
        <f>[1]TruckNumbers!S28</f>
        <v>0</v>
      </c>
      <c r="T25" s="4">
        <f>[1]TruckNumbers!T28</f>
        <v>0</v>
      </c>
      <c r="U25">
        <f>[1]TruckNumbers!U28</f>
        <v>57.100000000000364</v>
      </c>
      <c r="V25">
        <f>[1]TruckNumbers!V28</f>
        <v>12076.7</v>
      </c>
      <c r="W25">
        <f>[1]TruckNumbers!W28</f>
        <v>9.9999999999269562E-2</v>
      </c>
      <c r="X25">
        <f>[1]TruckNumbers!X28</f>
        <v>6</v>
      </c>
    </row>
    <row r="26" spans="1:24" x14ac:dyDescent="0.2">
      <c r="A26">
        <f>[1]TruckNumbers!A29</f>
        <v>45811</v>
      </c>
      <c r="B26" t="str">
        <f>[1]TruckNumbers!B29</f>
        <v>standard</v>
      </c>
      <c r="C26" s="29">
        <f>[1]TruckNumbers!C29</f>
        <v>0</v>
      </c>
      <c r="D26" s="4">
        <f>[1]TruckNumbers!E29</f>
        <v>12.1</v>
      </c>
      <c r="E26" s="30">
        <f>[1]TruckNumbers!D29</f>
        <v>0</v>
      </c>
      <c r="F26" s="4">
        <f>[1]TruckNumbers!G29</f>
        <v>4.5999999999999996</v>
      </c>
      <c r="G26">
        <f>[1]TruckNumbers!H29</f>
        <v>0.1875</v>
      </c>
      <c r="H26" s="4">
        <f>[1]TruckNumbers!I29</f>
        <v>12188.2</v>
      </c>
      <c r="I26" s="4">
        <f>[1]TruckNumbers!F29</f>
        <v>9.525462962962963E-3</v>
      </c>
      <c r="J26" s="4">
        <f>[1]TruckNumbers!J29</f>
        <v>0</v>
      </c>
      <c r="K26" s="4">
        <f>[1]TruckNumbers!K29</f>
        <v>0</v>
      </c>
      <c r="L26" s="31">
        <f>[1]TruckNumbers!L29</f>
        <v>0</v>
      </c>
      <c r="M26">
        <f>[1]TruckNumbers!M29</f>
        <v>0.2286111111111111</v>
      </c>
      <c r="N26">
        <f>[1]TruckNumbers!N29</f>
        <v>20.121506682867558</v>
      </c>
      <c r="O26" s="4">
        <f>[1]TruckNumbers!O29</f>
        <v>0</v>
      </c>
      <c r="P26" s="28">
        <f>[1]TruckNumbers!P29</f>
        <v>0</v>
      </c>
      <c r="Q26" s="4">
        <f>[1]TruckNumbers!Q29</f>
        <v>4.1989999999999998</v>
      </c>
      <c r="R26" s="4">
        <f>[1]TruckNumbers!R29</f>
        <v>0.1875</v>
      </c>
      <c r="S26" s="4" t="b">
        <f>[1]TruckNumbers!S29</f>
        <v>0</v>
      </c>
      <c r="T26" s="4">
        <f>[1]TruckNumbers!T29</f>
        <v>0</v>
      </c>
      <c r="U26">
        <f>[1]TruckNumbers!U29</f>
        <v>118.79999999999927</v>
      </c>
      <c r="V26">
        <f>[1]TruckNumbers!V29</f>
        <v>12183.400000000001</v>
      </c>
      <c r="W26">
        <f>[1]TruckNumbers!W29</f>
        <v>0.10000000000072795</v>
      </c>
      <c r="X26">
        <f>[1]TruckNumbers!X29</f>
        <v>0</v>
      </c>
    </row>
    <row r="27" spans="1:24" x14ac:dyDescent="0.2">
      <c r="A27">
        <f>[1]TruckNumbers!A30</f>
        <v>45811.761805555558</v>
      </c>
      <c r="B27" t="str">
        <f>[1]TruckNumbers!B30</f>
        <v>standard</v>
      </c>
      <c r="C27" s="29" t="str">
        <f>[1]TruckNumbers!C30</f>
        <v>Dollar General</v>
      </c>
      <c r="D27" s="4">
        <f>[1]TruckNumbers!E30</f>
        <v>15.6</v>
      </c>
      <c r="E27" s="30">
        <f>[1]TruckNumbers!D30</f>
        <v>0</v>
      </c>
      <c r="F27" s="4">
        <f>[1]TruckNumbers!G30</f>
        <v>19.2</v>
      </c>
      <c r="G27">
        <f>[1]TruckNumbers!H30</f>
        <v>0.1875</v>
      </c>
      <c r="H27" s="4">
        <f>[1]TruckNumbers!I30</f>
        <v>12202.9</v>
      </c>
      <c r="I27" s="4">
        <f>[1]TruckNumbers!F30</f>
        <v>2.886574074074074E-2</v>
      </c>
      <c r="J27" s="4">
        <f>[1]TruckNumbers!J30</f>
        <v>0</v>
      </c>
      <c r="K27" s="4">
        <f>[1]TruckNumbers!K30</f>
        <v>0</v>
      </c>
      <c r="L27" s="31">
        <f>[1]TruckNumbers!L30</f>
        <v>4.5999999999999996</v>
      </c>
      <c r="M27">
        <f>[1]TruckNumbers!M30</f>
        <v>0.46416666666666662</v>
      </c>
      <c r="N27">
        <f>[1]TruckNumbers!N30</f>
        <v>41.364452423698388</v>
      </c>
      <c r="O27" s="4">
        <f>[1]TruckNumbers!O30</f>
        <v>0</v>
      </c>
      <c r="P27" s="28">
        <f>[1]TruckNumbers!P30</f>
        <v>0</v>
      </c>
      <c r="Q27" s="4">
        <f>[1]TruckNumbers!Q30</f>
        <v>4.1989999999999998</v>
      </c>
      <c r="R27" s="4">
        <f>[1]TruckNumbers!R30</f>
        <v>0.1875</v>
      </c>
      <c r="S27" s="4" t="b">
        <f>[1]TruckNumbers!S30</f>
        <v>1</v>
      </c>
      <c r="T27" s="4">
        <f>[1]TruckNumbers!T30</f>
        <v>1.9340277777777776E-2</v>
      </c>
      <c r="U27">
        <f>[1]TruckNumbers!U30</f>
        <v>4.7000000000007276</v>
      </c>
      <c r="V27">
        <f>[1]TruckNumbers!V30</f>
        <v>12188.1</v>
      </c>
      <c r="W27">
        <f>[1]TruckNumbers!W30</f>
        <v>4.5000000000010907</v>
      </c>
      <c r="X27">
        <f>[1]TruckNumbers!X30</f>
        <v>0</v>
      </c>
    </row>
    <row r="28" spans="1:24" x14ac:dyDescent="0.2">
      <c r="A28">
        <f>[1]TruckNumbers!A31</f>
        <v>45811</v>
      </c>
      <c r="B28" t="str">
        <f>[1]TruckNumbers!B31</f>
        <v>standard</v>
      </c>
      <c r="C28" s="29" t="str">
        <f>[1]TruckNumbers!C31</f>
        <v>Dollar General</v>
      </c>
      <c r="D28" s="4">
        <f>[1]TruckNumbers!E31</f>
        <v>16.899999999999999</v>
      </c>
      <c r="E28" s="30">
        <f>[1]TruckNumbers!D31</f>
        <v>0</v>
      </c>
      <c r="F28" s="4">
        <f>[1]TruckNumbers!G31</f>
        <v>30.5</v>
      </c>
      <c r="G28">
        <f>[1]TruckNumbers!H31</f>
        <v>0.125</v>
      </c>
      <c r="H28" s="4">
        <f>[1]TruckNumbers!I31</f>
        <v>12214.2</v>
      </c>
      <c r="I28" s="4">
        <f>[1]TruckNumbers!F31</f>
        <v>4.1238425925925928E-2</v>
      </c>
      <c r="J28" s="4" t="str">
        <f>[1]TruckNumbers!J31</f>
        <v xml:space="preserve">    </v>
      </c>
      <c r="K28" s="4">
        <f>[1]TruckNumbers!K31</f>
        <v>0</v>
      </c>
      <c r="L28" s="31">
        <f>[1]TruckNumbers!L31</f>
        <v>19.2</v>
      </c>
      <c r="M28">
        <f>[1]TruckNumbers!M31</f>
        <v>0.29694444444444451</v>
      </c>
      <c r="N28">
        <f>[1]TruckNumbers!N31</f>
        <v>102.71281571562206</v>
      </c>
      <c r="O28" s="4">
        <f>[1]TruckNumbers!O31</f>
        <v>0</v>
      </c>
      <c r="P28" s="28">
        <f>[1]TruckNumbers!P31</f>
        <v>0</v>
      </c>
      <c r="Q28" s="4">
        <f>[1]TruckNumbers!Q31</f>
        <v>4.1989999999999998</v>
      </c>
      <c r="R28" s="4">
        <f>[1]TruckNumbers!R31</f>
        <v>0.125</v>
      </c>
      <c r="S28" s="4" t="b">
        <f>[1]TruckNumbers!S31</f>
        <v>1</v>
      </c>
      <c r="T28" s="4">
        <f>[1]TruckNumbers!T31</f>
        <v>1.2372685185185188E-2</v>
      </c>
      <c r="U28">
        <f>[1]TruckNumbers!U31</f>
        <v>14.699999999998909</v>
      </c>
      <c r="V28">
        <f>[1]TruckNumbers!V31</f>
        <v>12207.400000000001</v>
      </c>
      <c r="W28">
        <f>[1]TruckNumbers!W31</f>
        <v>19.199999999998909</v>
      </c>
      <c r="X28">
        <f>[1]TruckNumbers!X31</f>
        <v>2</v>
      </c>
    </row>
    <row r="29" spans="1:24" x14ac:dyDescent="0.2">
      <c r="A29">
        <f>[1]TruckNumbers!A32</f>
        <v>45811.992708333331</v>
      </c>
      <c r="B29">
        <f>[1]TruckNumbers!B32</f>
        <v>0</v>
      </c>
      <c r="C29" s="29" t="str">
        <f>[1]TruckNumbers!C32</f>
        <v>Chevron and ft Churchill</v>
      </c>
      <c r="D29" s="4">
        <f>[1]TruckNumbers!E32</f>
        <v>18</v>
      </c>
      <c r="E29" s="30">
        <f>[1]TruckNumbers!D32</f>
        <v>0</v>
      </c>
      <c r="F29" s="4">
        <f>[1]TruckNumbers!G32</f>
        <v>29</v>
      </c>
      <c r="G29">
        <f>[1]TruckNumbers!H32</f>
        <v>1</v>
      </c>
      <c r="H29" s="4">
        <f>[1]TruckNumbers!I32</f>
        <v>12243.3</v>
      </c>
      <c r="I29" s="4">
        <f>[1]TruckNumbers!F32</f>
        <v>4.9629629629629628E-2</v>
      </c>
      <c r="J29" s="4">
        <f>[1]TruckNumbers!J32</f>
        <v>641</v>
      </c>
      <c r="K29" s="4">
        <f>[1]TruckNumbers!K32</f>
        <v>0</v>
      </c>
      <c r="L29" s="31">
        <f>[1]TruckNumbers!L32</f>
        <v>0</v>
      </c>
      <c r="M29">
        <f>[1]TruckNumbers!M32</f>
        <v>0.20138888888888878</v>
      </c>
      <c r="N29">
        <f>[1]TruckNumbers!N32</f>
        <v>144.00000000000009</v>
      </c>
      <c r="O29" s="4">
        <f>[1]TruckNumbers!O32</f>
        <v>0</v>
      </c>
      <c r="P29" s="28">
        <f>[1]TruckNumbers!P32</f>
        <v>0</v>
      </c>
      <c r="Q29" s="4">
        <f>[1]TruckNumbers!Q32</f>
        <v>4.1989999999999998</v>
      </c>
      <c r="R29" s="4">
        <f>[1]TruckNumbers!R32</f>
        <v>1</v>
      </c>
      <c r="S29" s="4" t="b">
        <f>[1]TruckNumbers!S32</f>
        <v>0</v>
      </c>
      <c r="T29" s="4">
        <f>[1]TruckNumbers!T32</f>
        <v>0</v>
      </c>
      <c r="U29">
        <f>[1]TruckNumbers!U32</f>
        <v>11.300000000001091</v>
      </c>
      <c r="V29">
        <f>[1]TruckNumbers!V32</f>
        <v>12233.4</v>
      </c>
      <c r="W29">
        <f>[1]TruckNumbers!W32</f>
        <v>9.9999999998544808E-2</v>
      </c>
      <c r="X29">
        <f>[1]TruckNumbers!X32</f>
        <v>-28</v>
      </c>
    </row>
    <row r="30" spans="1:24" x14ac:dyDescent="0.2">
      <c r="A30">
        <f>[1]TruckNumbers!A33</f>
        <v>45812.631249999999</v>
      </c>
      <c r="B30" t="str">
        <f>[1]TruckNumbers!B33</f>
        <v>standard</v>
      </c>
      <c r="C30" s="29" t="str">
        <f>[1]TruckNumbers!C33</f>
        <v>24/7</v>
      </c>
      <c r="D30" s="4">
        <f>[1]TruckNumbers!E33</f>
        <v>12.5</v>
      </c>
      <c r="E30" s="30">
        <f>[1]TruckNumbers!D33</f>
        <v>0</v>
      </c>
      <c r="F30" s="4">
        <f>[1]TruckNumbers!G33</f>
        <v>3.9</v>
      </c>
      <c r="G30">
        <f>[1]TruckNumbers!H33</f>
        <v>1</v>
      </c>
      <c r="H30" s="4">
        <f>[1]TruckNumbers!I33</f>
        <v>12247.2</v>
      </c>
      <c r="I30" s="4">
        <f>[1]TruckNumbers!F33</f>
        <v>8.5532407407407415E-3</v>
      </c>
      <c r="J30" s="4">
        <f>[1]TruckNumbers!J33</f>
        <v>635</v>
      </c>
      <c r="K30" s="4">
        <f>[1]TruckNumbers!K33</f>
        <v>0</v>
      </c>
      <c r="L30" s="31">
        <f>[1]TruckNumbers!L33</f>
        <v>0</v>
      </c>
      <c r="M30">
        <f>[1]TruckNumbers!M33</f>
        <v>0.20527777777777778</v>
      </c>
      <c r="N30">
        <f>[1]TruckNumbers!N33</f>
        <v>18.998646820027062</v>
      </c>
      <c r="O30" s="4">
        <f>[1]TruckNumbers!O33</f>
        <v>0</v>
      </c>
      <c r="P30" s="28">
        <f>[1]TruckNumbers!P33</f>
        <v>0</v>
      </c>
      <c r="Q30" s="4">
        <f>[1]TruckNumbers!Q33</f>
        <v>4.1989999999999998</v>
      </c>
      <c r="R30" s="4">
        <f>[1]TruckNumbers!R33</f>
        <v>1</v>
      </c>
      <c r="S30" s="4" t="b">
        <f>[1]TruckNumbers!S33</f>
        <v>0</v>
      </c>
      <c r="T30" s="4">
        <f>[1]TruckNumbers!T33</f>
        <v>0</v>
      </c>
      <c r="U30">
        <f>[1]TruckNumbers!U33</f>
        <v>29.099999999998545</v>
      </c>
      <c r="V30">
        <f>[1]TruckNumbers!V33</f>
        <v>12243.2</v>
      </c>
      <c r="W30">
        <f>[1]TruckNumbers!W33</f>
        <v>1.4552803406786552E-12</v>
      </c>
      <c r="X30">
        <f>[1]TruckNumbers!X33</f>
        <v>0</v>
      </c>
    </row>
    <row r="31" spans="1:24" x14ac:dyDescent="0.2">
      <c r="A31">
        <f>[1]TruckNumbers!A34</f>
        <v>45812.722222222219</v>
      </c>
      <c r="B31" t="str">
        <f>[1]TruckNumbers!B34</f>
        <v>standard</v>
      </c>
      <c r="C31" s="29" t="str">
        <f>[1]TruckNumbers!C34</f>
        <v>24/7</v>
      </c>
      <c r="D31" s="4">
        <f>[1]TruckNumbers!E34</f>
        <v>12.7</v>
      </c>
      <c r="E31" s="30">
        <f>[1]TruckNumbers!D34</f>
        <v>0</v>
      </c>
      <c r="F31" s="4">
        <f>[1]TruckNumbers!G34</f>
        <v>7.9</v>
      </c>
      <c r="G31">
        <f>[1]TruckNumbers!H34</f>
        <v>1</v>
      </c>
      <c r="H31" s="4">
        <f>[1]TruckNumbers!I34</f>
        <v>12251.3</v>
      </c>
      <c r="I31" s="4">
        <f>[1]TruckNumbers!F34</f>
        <v>1.6446759259259258E-2</v>
      </c>
      <c r="J31" s="4">
        <f>[1]TruckNumbers!J34</f>
        <v>627</v>
      </c>
      <c r="K31" s="4">
        <f>[1]TruckNumbers!K34</f>
        <v>0</v>
      </c>
      <c r="L31" s="31">
        <f>[1]TruckNumbers!L34</f>
        <v>3.9</v>
      </c>
      <c r="M31">
        <f>[1]TruckNumbers!M34</f>
        <v>0.18944444444444442</v>
      </c>
      <c r="N31">
        <f>[1]TruckNumbers!N34</f>
        <v>41.700879765395904</v>
      </c>
      <c r="O31" s="4">
        <f>[1]TruckNumbers!O34</f>
        <v>0</v>
      </c>
      <c r="P31" s="28">
        <f>[1]TruckNumbers!P34</f>
        <v>0</v>
      </c>
      <c r="Q31" s="4">
        <f>[1]TruckNumbers!Q34</f>
        <v>4.1989999999999998</v>
      </c>
      <c r="R31" s="4">
        <f>[1]TruckNumbers!R34</f>
        <v>1</v>
      </c>
      <c r="S31" s="4" t="b">
        <f>[1]TruckNumbers!S34</f>
        <v>1</v>
      </c>
      <c r="T31" s="4">
        <f>[1]TruckNumbers!T34</f>
        <v>7.8935185185185167E-3</v>
      </c>
      <c r="U31">
        <f>[1]TruckNumbers!U34</f>
        <v>3.9000000000014552</v>
      </c>
      <c r="V31">
        <f>[1]TruckNumbers!V34</f>
        <v>12247.199999999999</v>
      </c>
      <c r="W31">
        <f>[1]TruckNumbers!W34</f>
        <v>3.8000000000014555</v>
      </c>
      <c r="X31">
        <f>[1]TruckNumbers!X34</f>
        <v>0</v>
      </c>
    </row>
    <row r="32" spans="1:24" x14ac:dyDescent="0.2">
      <c r="A32">
        <f>[1]TruckNumbers!A35</f>
        <v>45812.80972222222</v>
      </c>
      <c r="B32" t="str">
        <f>[1]TruckNumbers!B35</f>
        <v>standard</v>
      </c>
      <c r="C32" s="29" t="str">
        <f>[1]TruckNumbers!C35</f>
        <v>24/7</v>
      </c>
      <c r="D32" s="4">
        <f>[1]TruckNumbers!E35</f>
        <v>15.1</v>
      </c>
      <c r="E32" s="30" t="str">
        <f>[1]TruckNumbers!D35</f>
        <v>Tired</v>
      </c>
      <c r="F32" s="4">
        <f>[1]TruckNumbers!G35</f>
        <v>5.6</v>
      </c>
      <c r="G32">
        <f>[1]TruckNumbers!H35</f>
        <v>1</v>
      </c>
      <c r="H32" s="4">
        <f>[1]TruckNumbers!I35</f>
        <v>12256.8</v>
      </c>
      <c r="I32" s="4">
        <f>[1]TruckNumbers!F35</f>
        <v>1.1296296296296296E-2</v>
      </c>
      <c r="J32" s="4">
        <f>[1]TruckNumbers!J35</f>
        <v>619</v>
      </c>
      <c r="K32" s="4">
        <f>[1]TruckNumbers!K35</f>
        <v>0</v>
      </c>
      <c r="L32" s="31">
        <f>[1]TruckNumbers!L35</f>
        <v>0</v>
      </c>
      <c r="M32">
        <f>[1]TruckNumbers!M35</f>
        <v>0.27111111111111108</v>
      </c>
      <c r="N32">
        <f>[1]TruckNumbers!N35</f>
        <v>20.655737704918035</v>
      </c>
      <c r="O32" s="4">
        <f>[1]TruckNumbers!O35</f>
        <v>0</v>
      </c>
      <c r="P32" s="28">
        <f>[1]TruckNumbers!P35</f>
        <v>0</v>
      </c>
      <c r="Q32" s="4">
        <f>[1]TruckNumbers!Q35</f>
        <v>4.1989999999999998</v>
      </c>
      <c r="R32" s="4">
        <f>[1]TruckNumbers!R35</f>
        <v>1</v>
      </c>
      <c r="S32" s="4" t="b">
        <f>[1]TruckNumbers!S35</f>
        <v>0</v>
      </c>
      <c r="T32" s="4">
        <f>[1]TruckNumbers!T35</f>
        <v>0</v>
      </c>
      <c r="U32">
        <f>[1]TruckNumbers!U35</f>
        <v>4.0999999999985448</v>
      </c>
      <c r="V32">
        <f>[1]TruckNumbers!V35</f>
        <v>12255.1</v>
      </c>
      <c r="W32">
        <f>[1]TruckNumbers!W35</f>
        <v>9.9999999999999645E-2</v>
      </c>
      <c r="X32">
        <f>[1]TruckNumbers!X35</f>
        <v>0</v>
      </c>
    </row>
    <row r="33" spans="1:24" x14ac:dyDescent="0.2">
      <c r="A33">
        <f>[1]TruckNumbers!A36</f>
        <v>45813.710416666669</v>
      </c>
      <c r="B33" t="str">
        <f>[1]TruckNumbers!B36</f>
        <v>standard</v>
      </c>
      <c r="C33" s="29" t="str">
        <f>[1]TruckNumbers!C36</f>
        <v>Rnc</v>
      </c>
      <c r="D33" s="4">
        <f>[1]TruckNumbers!E36</f>
        <v>17.5</v>
      </c>
      <c r="E33" s="30" t="str">
        <f>[1]TruckNumbers!D36</f>
        <v xml:space="preserve">Appointment </v>
      </c>
      <c r="F33" s="4">
        <f>[1]TruckNumbers!G36</f>
        <v>18.3</v>
      </c>
      <c r="G33">
        <f>[1]TruckNumbers!H36</f>
        <v>1</v>
      </c>
      <c r="H33" s="4">
        <f>[1]TruckNumbers!I36</f>
        <v>12275.1</v>
      </c>
      <c r="I33" s="4">
        <f>[1]TruckNumbers!F36</f>
        <v>2.1319444444444443E-2</v>
      </c>
      <c r="J33" s="4">
        <f>[1]TruckNumbers!J36</f>
        <v>604</v>
      </c>
      <c r="K33" s="4">
        <f>[1]TruckNumbers!K36</f>
        <v>0</v>
      </c>
      <c r="L33" s="31">
        <f>[1]TruckNumbers!L36</f>
        <v>5.6</v>
      </c>
      <c r="M33">
        <f>[1]TruckNumbers!M36</f>
        <v>0.24055555555555552</v>
      </c>
      <c r="N33">
        <f>[1]TruckNumbers!N36</f>
        <v>76.073903002309478</v>
      </c>
      <c r="O33" s="4">
        <f>[1]TruckNumbers!O36</f>
        <v>0</v>
      </c>
      <c r="P33" s="28">
        <f>[1]TruckNumbers!P36</f>
        <v>0</v>
      </c>
      <c r="Q33" s="4">
        <f>[1]TruckNumbers!Q36</f>
        <v>4.1989999999999998</v>
      </c>
      <c r="R33" s="4">
        <f>[1]TruckNumbers!R36</f>
        <v>1</v>
      </c>
      <c r="S33" s="4" t="b">
        <f>[1]TruckNumbers!S36</f>
        <v>0</v>
      </c>
      <c r="T33" s="4">
        <f>[1]TruckNumbers!T36</f>
        <v>0</v>
      </c>
      <c r="U33">
        <f>[1]TruckNumbers!U36</f>
        <v>5.5</v>
      </c>
      <c r="V33">
        <f>[1]TruckNumbers!V36</f>
        <v>12256.9</v>
      </c>
      <c r="W33">
        <f>[1]TruckNumbers!W36</f>
        <v>1.0906830993917538E-12</v>
      </c>
      <c r="X33">
        <f>[1]TruckNumbers!X36</f>
        <v>0</v>
      </c>
    </row>
    <row r="34" spans="1:24" x14ac:dyDescent="0.2">
      <c r="A34">
        <f>[1]TruckNumbers!A37</f>
        <v>45814.657638888886</v>
      </c>
      <c r="B34" t="str">
        <f>[1]TruckNumbers!B37</f>
        <v>standard</v>
      </c>
      <c r="C34" s="29" t="str">
        <f>[1]TruckNumbers!C37</f>
        <v>24/7</v>
      </c>
      <c r="D34" s="4">
        <f>[1]TruckNumbers!E37</f>
        <v>12.6</v>
      </c>
      <c r="E34" s="30" t="str">
        <f>[1]TruckNumbers!D37</f>
        <v>Tired</v>
      </c>
      <c r="F34" s="4">
        <f>[1]TruckNumbers!G37</f>
        <v>3.6</v>
      </c>
      <c r="G34">
        <f>[1]TruckNumbers!H37</f>
        <v>1</v>
      </c>
      <c r="H34" s="4">
        <f>[1]TruckNumbers!I37</f>
        <v>12278.7</v>
      </c>
      <c r="I34" s="4">
        <f>[1]TruckNumbers!F37</f>
        <v>9.6412037037037039E-3</v>
      </c>
      <c r="J34" s="4">
        <f>[1]TruckNumbers!J37</f>
        <v>591</v>
      </c>
      <c r="K34" s="4">
        <f>[1]TruckNumbers!K37</f>
        <v>0</v>
      </c>
      <c r="L34" s="31">
        <f>[1]TruckNumbers!L37</f>
        <v>0</v>
      </c>
      <c r="M34">
        <f>[1]TruckNumbers!M37</f>
        <v>0.23138888888888889</v>
      </c>
      <c r="N34">
        <f>[1]TruckNumbers!N37</f>
        <v>15.558223289315727</v>
      </c>
      <c r="O34" s="4">
        <f>[1]TruckNumbers!O37</f>
        <v>0</v>
      </c>
      <c r="P34" s="28">
        <f>[1]TruckNumbers!P37</f>
        <v>0</v>
      </c>
      <c r="Q34" s="4">
        <f>[1]TruckNumbers!Q37</f>
        <v>4.1989999999999998</v>
      </c>
      <c r="R34" s="4">
        <f>[1]TruckNumbers!R37</f>
        <v>1</v>
      </c>
      <c r="S34" s="4" t="b">
        <f>[1]TruckNumbers!S37</f>
        <v>0</v>
      </c>
      <c r="T34" s="4">
        <f>[1]TruckNumbers!T37</f>
        <v>0</v>
      </c>
      <c r="U34">
        <f>[1]TruckNumbers!U37</f>
        <v>18.300000000001091</v>
      </c>
      <c r="V34">
        <f>[1]TruckNumbers!V37</f>
        <v>12275.099999999999</v>
      </c>
      <c r="W34">
        <f>[1]TruckNumbers!W37</f>
        <v>3.6370906286720128E-13</v>
      </c>
      <c r="X34">
        <f>[1]TruckNumbers!X37</f>
        <v>0</v>
      </c>
    </row>
    <row r="35" spans="1:24" x14ac:dyDescent="0.2">
      <c r="A35">
        <f>[1]TruckNumbers!A38</f>
        <v>45814.884027777778</v>
      </c>
      <c r="B35" t="str">
        <f>[1]TruckNumbers!B38</f>
        <v>standard</v>
      </c>
      <c r="C35" s="29" t="str">
        <f>[1]TruckNumbers!C38</f>
        <v>Ft Churchill</v>
      </c>
      <c r="D35" s="4">
        <f>[1]TruckNumbers!E38</f>
        <v>13.7</v>
      </c>
      <c r="E35" s="30" t="str">
        <f>[1]TruckNumbers!D38</f>
        <v>Strung out with burning noise</v>
      </c>
      <c r="F35" s="4">
        <f>[1]TruckNumbers!G38</f>
        <v>34</v>
      </c>
      <c r="G35">
        <f>[1]TruckNumbers!H38</f>
        <v>0.875</v>
      </c>
      <c r="H35" s="4">
        <f>[1]TruckNumbers!I38</f>
        <v>12312.8</v>
      </c>
      <c r="I35" s="4">
        <f>[1]TruckNumbers!F38</f>
        <v>0.14056712962962964</v>
      </c>
      <c r="J35" s="4">
        <f>[1]TruckNumbers!J38</f>
        <v>517</v>
      </c>
      <c r="K35" s="4">
        <f>[1]TruckNumbers!K38</f>
        <v>0</v>
      </c>
      <c r="L35" s="31">
        <f>[1]TruckNumbers!L38</f>
        <v>3.6</v>
      </c>
      <c r="M35">
        <f>[1]TruckNumbers!M38</f>
        <v>3.1422222222222227</v>
      </c>
      <c r="N35">
        <f>[1]TruckNumbers!N38</f>
        <v>10.820367751060818</v>
      </c>
      <c r="O35" s="4">
        <f>[1]TruckNumbers!O38</f>
        <v>0</v>
      </c>
      <c r="P35" s="28">
        <f>[1]TruckNumbers!P38</f>
        <v>0</v>
      </c>
      <c r="Q35" s="4">
        <f>[1]TruckNumbers!Q38</f>
        <v>4.1989999999999998</v>
      </c>
      <c r="R35" s="4">
        <f>[1]TruckNumbers!R38</f>
        <v>0.875</v>
      </c>
      <c r="S35" s="4" t="b">
        <f>[1]TruckNumbers!S38</f>
        <v>0</v>
      </c>
      <c r="T35" s="4">
        <f>[1]TruckNumbers!T38</f>
        <v>0</v>
      </c>
      <c r="U35">
        <f>[1]TruckNumbers!U38</f>
        <v>3.6000000000003638</v>
      </c>
      <c r="V35">
        <f>[1]TruckNumbers!V38</f>
        <v>12278.7</v>
      </c>
      <c r="W35">
        <f>[1]TruckNumbers!W38</f>
        <v>9.9999999998544808E-2</v>
      </c>
      <c r="X35">
        <f>[1]TruckNumbers!X38</f>
        <v>4</v>
      </c>
    </row>
    <row r="36" spans="1:24" x14ac:dyDescent="0.2">
      <c r="A36">
        <f>[1]TruckNumbers!A39</f>
        <v>45815.568749999999</v>
      </c>
      <c r="B36" t="str">
        <f>[1]TruckNumbers!B39</f>
        <v>standard</v>
      </c>
      <c r="C36" s="29" t="str">
        <f>[1]TruckNumbers!C39</f>
        <v>Tires plus</v>
      </c>
      <c r="D36" s="4">
        <f>[1]TruckNumbers!E39</f>
        <v>19.600000000000001</v>
      </c>
      <c r="E36" s="30" t="str">
        <f>[1]TruckNumbers!D39</f>
        <v>Flat tire</v>
      </c>
      <c r="F36" s="4">
        <f>[1]TruckNumbers!G39</f>
        <v>114.1</v>
      </c>
      <c r="G36">
        <f>[1]TruckNumbers!H39</f>
        <v>0.625</v>
      </c>
      <c r="H36" s="4">
        <f>[1]TruckNumbers!I39</f>
        <v>12426.9</v>
      </c>
      <c r="I36" s="4">
        <f>[1]TruckNumbers!F39</f>
        <v>0.10917824074074074</v>
      </c>
      <c r="J36" s="4">
        <f>[1]TruckNumbers!J39</f>
        <v>412</v>
      </c>
      <c r="K36" s="4">
        <f>[1]TruckNumbers!K39</f>
        <v>0</v>
      </c>
      <c r="L36" s="31">
        <f>[1]TruckNumbers!L39</f>
        <v>0</v>
      </c>
      <c r="M36">
        <f>[1]TruckNumbers!M39</f>
        <v>2.6202777777777779</v>
      </c>
      <c r="N36">
        <f>[1]TruckNumbers!N39</f>
        <v>43.545001590162194</v>
      </c>
      <c r="O36" s="4">
        <f>[1]TruckNumbers!O39</f>
        <v>0</v>
      </c>
      <c r="P36" s="28">
        <f>[1]TruckNumbers!P39</f>
        <v>0</v>
      </c>
      <c r="Q36" s="4">
        <f>[1]TruckNumbers!Q39</f>
        <v>4.1989999999999998</v>
      </c>
      <c r="R36" s="4">
        <f>[1]TruckNumbers!R39</f>
        <v>0.625</v>
      </c>
      <c r="S36" s="4" t="b">
        <f>[1]TruckNumbers!S39</f>
        <v>0</v>
      </c>
      <c r="T36" s="4">
        <f>[1]TruckNumbers!T39</f>
        <v>0</v>
      </c>
      <c r="U36">
        <f>[1]TruckNumbers!U39</f>
        <v>34.099999999998545</v>
      </c>
      <c r="V36">
        <f>[1]TruckNumbers!V39</f>
        <v>12312.7</v>
      </c>
      <c r="W36">
        <f>[1]TruckNumbers!W39</f>
        <v>3.694822225952521E-13</v>
      </c>
      <c r="X36">
        <f>[1]TruckNumbers!X39</f>
        <v>8</v>
      </c>
    </row>
    <row r="37" spans="1:24" x14ac:dyDescent="0.2">
      <c r="A37">
        <f>[1]TruckNumbers!A40</f>
        <v>45815.890972222223</v>
      </c>
      <c r="B37" t="str">
        <f>[1]TruckNumbers!B40</f>
        <v>standard</v>
      </c>
      <c r="C37" s="29" t="str">
        <f>[1]TruckNumbers!C40</f>
        <v>Ft Churchill the social</v>
      </c>
      <c r="D37" s="4">
        <f>[1]TruckNumbers!E40</f>
        <v>17.600000000000001</v>
      </c>
      <c r="E37" s="30" t="str">
        <f>[1]TruckNumbers!D40</f>
        <v>Feeling lethargic</v>
      </c>
      <c r="F37" s="4">
        <f>[1]TruckNumbers!G40</f>
        <v>15.9</v>
      </c>
      <c r="G37">
        <f>[1]TruckNumbers!H40</f>
        <v>0.625</v>
      </c>
      <c r="H37" s="4">
        <f>[1]TruckNumbers!I40</f>
        <v>12442.9</v>
      </c>
      <c r="I37" s="4">
        <f>[1]TruckNumbers!F40</f>
        <v>1.9768518518518519E-2</v>
      </c>
      <c r="J37" s="4">
        <f>[1]TruckNumbers!J40</f>
        <v>396</v>
      </c>
      <c r="K37" s="4">
        <f>[1]TruckNumbers!K40</f>
        <v>0</v>
      </c>
      <c r="L37" s="31">
        <f>[1]TruckNumbers!L40</f>
        <v>0</v>
      </c>
      <c r="M37">
        <f>[1]TruckNumbers!M40</f>
        <v>0.47444444444444445</v>
      </c>
      <c r="N37">
        <f>[1]TruckNumbers!N40</f>
        <v>33.512880562060893</v>
      </c>
      <c r="O37" s="4">
        <f>[1]TruckNumbers!O40</f>
        <v>0</v>
      </c>
      <c r="P37" s="28">
        <f>[1]TruckNumbers!P40</f>
        <v>0</v>
      </c>
      <c r="Q37" s="4">
        <f>[1]TruckNumbers!Q40</f>
        <v>4.1989999999999998</v>
      </c>
      <c r="R37" s="4">
        <f>[1]TruckNumbers!R40</f>
        <v>0.625</v>
      </c>
      <c r="S37" s="4" t="b">
        <f>[1]TruckNumbers!S40</f>
        <v>0</v>
      </c>
      <c r="T37" s="4">
        <f>[1]TruckNumbers!T40</f>
        <v>0</v>
      </c>
      <c r="U37">
        <f>[1]TruckNumbers!U40</f>
        <v>114.10000000000036</v>
      </c>
      <c r="V37">
        <f>[1]TruckNumbers!V40</f>
        <v>12426.9</v>
      </c>
      <c r="W37">
        <f>[1]TruckNumbers!W40</f>
        <v>9.9999999999999645E-2</v>
      </c>
      <c r="X37">
        <f>[1]TruckNumbers!X40</f>
        <v>0</v>
      </c>
    </row>
    <row r="38" spans="1:24" x14ac:dyDescent="0.2">
      <c r="A38">
        <f>[1]TruckNumbers!A41</f>
        <v>45816.625</v>
      </c>
      <c r="B38" t="str">
        <f>[1]TruckNumbers!B41</f>
        <v>standard</v>
      </c>
      <c r="C38" s="29" t="str">
        <f>[1]TruckNumbers!C41</f>
        <v>Dollar General</v>
      </c>
      <c r="D38" s="4">
        <f>[1]TruckNumbers!E41</f>
        <v>16.899999999999999</v>
      </c>
      <c r="E38" s="30" t="str">
        <f>[1]TruckNumbers!D41</f>
        <v>Bad eyesight, I'm bored</v>
      </c>
      <c r="F38" s="4">
        <f>[1]TruckNumbers!G41</f>
        <v>11</v>
      </c>
      <c r="G38">
        <f>[1]TruckNumbers!H41</f>
        <v>0.5625</v>
      </c>
      <c r="H38" s="4">
        <f>[1]TruckNumbers!I41</f>
        <v>12454.3</v>
      </c>
      <c r="I38" s="4">
        <f>[1]TruckNumbers!F41</f>
        <v>3.5868055555555556E-2</v>
      </c>
      <c r="J38" s="4">
        <f>[1]TruckNumbers!J41</f>
        <v>385</v>
      </c>
      <c r="K38" s="4">
        <f>[1]TruckNumbers!K41</f>
        <v>0</v>
      </c>
      <c r="L38" s="31">
        <f>[1]TruckNumbers!L41</f>
        <v>0</v>
      </c>
      <c r="M38">
        <f>[1]TruckNumbers!M41</f>
        <v>0.38638888888888889</v>
      </c>
      <c r="N38">
        <f>[1]TruckNumbers!N41</f>
        <v>28.468727534148094</v>
      </c>
      <c r="O38" s="4">
        <f>[1]TruckNumbers!O41</f>
        <v>0</v>
      </c>
      <c r="P38" s="28">
        <f>[1]TruckNumbers!P41</f>
        <v>0</v>
      </c>
      <c r="Q38" s="4">
        <f>[1]TruckNumbers!Q41</f>
        <v>4.1989999999999998</v>
      </c>
      <c r="R38" s="4">
        <f>[1]TruckNumbers!R41</f>
        <v>0.5625</v>
      </c>
      <c r="S38" s="4" t="b">
        <f>[1]TruckNumbers!S41</f>
        <v>0</v>
      </c>
      <c r="T38" s="4">
        <f>[1]TruckNumbers!T41</f>
        <v>0</v>
      </c>
      <c r="U38">
        <f>[1]TruckNumbers!U41</f>
        <v>16</v>
      </c>
      <c r="V38">
        <f>[1]TruckNumbers!V41</f>
        <v>12442.8</v>
      </c>
      <c r="W38">
        <f>[1]TruckNumbers!W41</f>
        <v>0.3999999999996362</v>
      </c>
      <c r="X38">
        <f>[1]TruckNumbers!X41</f>
        <v>2</v>
      </c>
    </row>
    <row r="39" spans="1:24" x14ac:dyDescent="0.2">
      <c r="A39">
        <f>[1]TruckNumbers!A42</f>
        <v>45817.277777777781</v>
      </c>
      <c r="B39" t="str">
        <f>[1]TruckNumbers!B42</f>
        <v>standard</v>
      </c>
      <c r="C39" s="29" t="str">
        <f>[1]TruckNumbers!C42</f>
        <v>24/7</v>
      </c>
      <c r="D39" s="4">
        <f>[1]TruckNumbers!E42</f>
        <v>31.5</v>
      </c>
      <c r="E39" s="30" t="str">
        <f>[1]TruckNumbers!D42</f>
        <v>Tired</v>
      </c>
      <c r="F39" s="4">
        <f>[1]TruckNumbers!G42</f>
        <v>16.8</v>
      </c>
      <c r="G39">
        <f>[1]TruckNumbers!H42</f>
        <v>0.5625</v>
      </c>
      <c r="H39" s="4">
        <f>[1]TruckNumbers!I42</f>
        <v>12458.5</v>
      </c>
      <c r="I39" s="4">
        <f>[1]TruckNumbers!F42</f>
        <v>4.1666666666666664E-2</v>
      </c>
      <c r="J39" s="4">
        <f>[1]TruckNumbers!J42</f>
        <v>375</v>
      </c>
      <c r="K39" s="4">
        <f>[1]TruckNumbers!K42</f>
        <v>0</v>
      </c>
      <c r="L39" s="31">
        <f>[1]TruckNumbers!L42</f>
        <v>11</v>
      </c>
      <c r="M39">
        <f>[1]TruckNumbers!M42</f>
        <v>0.13916666666666661</v>
      </c>
      <c r="N39">
        <f>[1]TruckNumbers!N42</f>
        <v>120.71856287425156</v>
      </c>
      <c r="O39" s="4">
        <f>[1]TruckNumbers!O42</f>
        <v>0</v>
      </c>
      <c r="P39" s="28">
        <f>[1]TruckNumbers!P42</f>
        <v>0</v>
      </c>
      <c r="Q39" s="4">
        <f>[1]TruckNumbers!Q42</f>
        <v>4.1989999999999998</v>
      </c>
      <c r="R39" s="4">
        <f>[1]TruckNumbers!R42</f>
        <v>0.5625</v>
      </c>
      <c r="S39" s="4" t="b">
        <f>[1]TruckNumbers!S42</f>
        <v>1</v>
      </c>
      <c r="T39" s="4">
        <f>[1]TruckNumbers!T42</f>
        <v>5.7986111111111086E-3</v>
      </c>
      <c r="U39">
        <f>[1]TruckNumbers!U42</f>
        <v>11.399999999999636</v>
      </c>
      <c r="V39">
        <f>[1]TruckNumbers!V42</f>
        <v>12453.9</v>
      </c>
      <c r="W39">
        <f>[1]TruckNumbers!W42</f>
        <v>12.599999999999273</v>
      </c>
      <c r="X39">
        <f>[1]TruckNumbers!X42</f>
        <v>0</v>
      </c>
    </row>
    <row r="40" spans="1:24" x14ac:dyDescent="0.2">
      <c r="A40">
        <f>[1]TruckNumbers!A43</f>
        <v>45817.614583333336</v>
      </c>
      <c r="B40" t="str">
        <f>[1]TruckNumbers!B43</f>
        <v>standard</v>
      </c>
      <c r="C40" s="29" t="str">
        <f>[1]TruckNumbers!C43</f>
        <v>Mariah</v>
      </c>
      <c r="D40" s="4">
        <f>[1]TruckNumbers!E43</f>
        <v>17.2</v>
      </c>
      <c r="E40" s="30" t="str">
        <f>[1]TruckNumbers!D43</f>
        <v>Doctor</v>
      </c>
      <c r="F40" s="4">
        <f>[1]TruckNumbers!G43</f>
        <v>47.7</v>
      </c>
      <c r="G40">
        <f>[1]TruckNumbers!H43</f>
        <v>0.5</v>
      </c>
      <c r="H40" s="4">
        <f>[1]TruckNumbers!I43</f>
        <v>12474.7</v>
      </c>
      <c r="I40" s="4">
        <f>[1]TruckNumbers!F43</f>
        <v>5.8506944444444445E-2</v>
      </c>
      <c r="J40" s="4">
        <f>[1]TruckNumbers!J43</f>
        <v>351</v>
      </c>
      <c r="K40" s="4">
        <f>[1]TruckNumbers!K43</f>
        <v>0</v>
      </c>
      <c r="L40" s="31">
        <f>[1]TruckNumbers!L43</f>
        <v>16.8</v>
      </c>
      <c r="M40">
        <f>[1]TruckNumbers!M43</f>
        <v>0.40416666666666673</v>
      </c>
      <c r="N40">
        <f>[1]TruckNumbers!N43</f>
        <v>118.02061855670102</v>
      </c>
      <c r="O40" s="4">
        <f>[1]TruckNumbers!O43</f>
        <v>0</v>
      </c>
      <c r="P40" s="28">
        <f>[1]TruckNumbers!P43</f>
        <v>0</v>
      </c>
      <c r="Q40" s="4">
        <f>[1]TruckNumbers!Q43</f>
        <v>4.1989999999999998</v>
      </c>
      <c r="R40" s="4">
        <f>[1]TruckNumbers!R43</f>
        <v>0.5</v>
      </c>
      <c r="S40" s="4" t="b">
        <f>[1]TruckNumbers!S43</f>
        <v>1</v>
      </c>
      <c r="T40" s="4">
        <f>[1]TruckNumbers!T43</f>
        <v>1.684027777777778E-2</v>
      </c>
      <c r="U40">
        <f>[1]TruckNumbers!U43</f>
        <v>4.2000000000007276</v>
      </c>
      <c r="V40">
        <f>[1]TruckNumbers!V43</f>
        <v>12471.099999999999</v>
      </c>
      <c r="W40">
        <f>[1]TruckNumbers!W43</f>
        <v>31.499999999999275</v>
      </c>
      <c r="X40">
        <f>[1]TruckNumbers!X43</f>
        <v>2</v>
      </c>
    </row>
    <row r="41" spans="1:24" x14ac:dyDescent="0.2">
      <c r="A41">
        <f>[1]TruckNumbers!A44</f>
        <v>45817.831944444442</v>
      </c>
      <c r="B41" t="str">
        <f>[1]TruckNumbers!B44</f>
        <v>standard</v>
      </c>
      <c r="C41" s="29" t="str">
        <f>[1]TruckNumbers!C44</f>
        <v>Dollar General</v>
      </c>
      <c r="D41" s="4">
        <f>[1]TruckNumbers!E44</f>
        <v>16.600000000000001</v>
      </c>
      <c r="E41" s="30" t="str">
        <f>[1]TruckNumbers!D44</f>
        <v>Needed eggs</v>
      </c>
      <c r="F41" s="4">
        <f>[1]TruckNumbers!G44</f>
        <v>11.2</v>
      </c>
      <c r="G41">
        <f>[1]TruckNumbers!H44</f>
        <v>0.5</v>
      </c>
      <c r="H41" s="4">
        <f>[1]TruckNumbers!I44</f>
        <v>12485.9</v>
      </c>
      <c r="I41" s="4">
        <f>[1]TruckNumbers!F44</f>
        <v>1.0590277777777778E-2</v>
      </c>
      <c r="J41" s="4">
        <f>[1]TruckNumbers!J44</f>
        <v>331</v>
      </c>
      <c r="K41" s="4">
        <f>[1]TruckNumbers!K44</f>
        <v>0</v>
      </c>
      <c r="L41" s="31">
        <f>[1]TruckNumbers!L44</f>
        <v>0</v>
      </c>
      <c r="M41">
        <f>[1]TruckNumbers!M44</f>
        <v>0.25416666666666665</v>
      </c>
      <c r="N41">
        <f>[1]TruckNumbers!N44</f>
        <v>44.065573770491802</v>
      </c>
      <c r="O41" s="4">
        <f>[1]TruckNumbers!O44</f>
        <v>0</v>
      </c>
      <c r="P41" s="28">
        <f>[1]TruckNumbers!P44</f>
        <v>0</v>
      </c>
      <c r="Q41" s="4">
        <f>[1]TruckNumbers!Q44</f>
        <v>5.1989999999999998</v>
      </c>
      <c r="R41" s="4">
        <f>[1]TruckNumbers!R44</f>
        <v>0.5</v>
      </c>
      <c r="S41" s="4" t="b">
        <f>[1]TruckNumbers!S44</f>
        <v>0</v>
      </c>
      <c r="T41" s="4">
        <f>[1]TruckNumbers!T44</f>
        <v>0</v>
      </c>
      <c r="U41">
        <f>[1]TruckNumbers!U44</f>
        <v>16.200000000000728</v>
      </c>
      <c r="V41">
        <f>[1]TruckNumbers!V44</f>
        <v>12506.2</v>
      </c>
      <c r="W41">
        <f>[1]TruckNumbers!W44</f>
        <v>1.0906830993917538E-12</v>
      </c>
      <c r="X41">
        <f>[1]TruckNumbers!X44</f>
        <v>0</v>
      </c>
    </row>
    <row r="42" spans="1:24" x14ac:dyDescent="0.2">
      <c r="A42">
        <f>[1]TruckNumbers!A45</f>
        <v>45817.896527777775</v>
      </c>
      <c r="B42" t="str">
        <f>[1]TruckNumbers!B45</f>
        <v>standard</v>
      </c>
      <c r="C42" s="29" t="str">
        <f>[1]TruckNumbers!C45</f>
        <v>Dollar General</v>
      </c>
      <c r="D42" s="4">
        <f>[1]TruckNumbers!E45</f>
        <v>18.100000000000001</v>
      </c>
      <c r="E42" s="30" t="str">
        <f>[1]TruckNumbers!D45</f>
        <v>Forgot frosting</v>
      </c>
      <c r="F42" s="4">
        <f>[1]TruckNumbers!G45</f>
        <v>11.2</v>
      </c>
      <c r="G42">
        <f>[1]TruckNumbers!H45</f>
        <v>0.5</v>
      </c>
      <c r="H42" s="4">
        <f>[1]TruckNumbers!I45</f>
        <v>12497.2</v>
      </c>
      <c r="I42" s="4">
        <f>[1]TruckNumbers!F45</f>
        <v>1.0578703703703703E-2</v>
      </c>
      <c r="J42" s="4">
        <f>[1]TruckNumbers!J45</f>
        <v>316</v>
      </c>
      <c r="K42" s="4">
        <f>[1]TruckNumbers!K45</f>
        <v>0</v>
      </c>
      <c r="L42" s="31">
        <f>[1]TruckNumbers!L45</f>
        <v>0</v>
      </c>
      <c r="M42">
        <f>[1]TruckNumbers!M45</f>
        <v>0.25388888888888889</v>
      </c>
      <c r="N42">
        <f>[1]TruckNumbers!N45</f>
        <v>44.113785557986866</v>
      </c>
      <c r="O42" s="4">
        <f>[1]TruckNumbers!O45</f>
        <v>0</v>
      </c>
      <c r="P42" s="28">
        <f>[1]TruckNumbers!P45</f>
        <v>0</v>
      </c>
      <c r="Q42" s="4">
        <f>[1]TruckNumbers!Q45</f>
        <v>6.1989999999999998</v>
      </c>
      <c r="R42" s="4">
        <f>[1]TruckNumbers!R45</f>
        <v>0.5</v>
      </c>
      <c r="S42" s="4" t="b">
        <f>[1]TruckNumbers!S45</f>
        <v>0</v>
      </c>
      <c r="T42" s="4">
        <f>[1]TruckNumbers!T45</f>
        <v>0</v>
      </c>
      <c r="U42">
        <f>[1]TruckNumbers!U45</f>
        <v>11.199999999998909</v>
      </c>
      <c r="V42">
        <f>[1]TruckNumbers!V45</f>
        <v>12485.900000000001</v>
      </c>
      <c r="W42">
        <f>[1]TruckNumbers!W45</f>
        <v>0.1000000000010921</v>
      </c>
      <c r="X42">
        <f>[1]TruckNumbers!X45</f>
        <v>0</v>
      </c>
    </row>
    <row r="43" spans="1:24" x14ac:dyDescent="0.2">
      <c r="A43">
        <f>[1]TruckNumbers!A46</f>
        <v>45817.642361111109</v>
      </c>
      <c r="B43" t="str">
        <f>[1]TruckNumbers!B46</f>
        <v>standard</v>
      </c>
      <c r="C43" s="29" t="str">
        <f>[1]TruckNumbers!C46</f>
        <v>Yerington lucky bar</v>
      </c>
      <c r="D43" s="4">
        <f>[1]TruckNumbers!E46</f>
        <v>20.100000000000001</v>
      </c>
      <c r="E43" s="30" t="str">
        <f>[1]TruckNumbers!D46</f>
        <v>Extreme anger</v>
      </c>
      <c r="F43" s="4">
        <f>[1]TruckNumbers!G46</f>
        <v>60.9</v>
      </c>
      <c r="G43">
        <f>[1]TruckNumbers!H46</f>
        <v>0.4375</v>
      </c>
      <c r="H43" s="4">
        <f>[1]TruckNumbers!I46</f>
        <v>12558.2</v>
      </c>
      <c r="I43" s="4">
        <f>[1]TruckNumbers!F46</f>
        <v>5.5555555555555552E-2</v>
      </c>
      <c r="J43" s="4">
        <f>[1]TruckNumbers!J46</f>
        <v>250</v>
      </c>
      <c r="K43" s="4">
        <f>[1]TruckNumbers!K46</f>
        <v>0</v>
      </c>
      <c r="L43" s="31">
        <f>[1]TruckNumbers!L46</f>
        <v>11.2</v>
      </c>
      <c r="M43">
        <f>[1]TruckNumbers!M46</f>
        <v>1.0794444444444444</v>
      </c>
      <c r="N43">
        <f>[1]TruckNumbers!N46</f>
        <v>56.417910447761194</v>
      </c>
      <c r="O43" s="4">
        <f>[1]TruckNumbers!O46</f>
        <v>0</v>
      </c>
      <c r="P43" s="28">
        <f>[1]TruckNumbers!P46</f>
        <v>0</v>
      </c>
      <c r="Q43" s="4">
        <f>[1]TruckNumbers!Q46</f>
        <v>7.1989999999999998</v>
      </c>
      <c r="R43" s="4">
        <f>[1]TruckNumbers!R46</f>
        <v>0.4375</v>
      </c>
      <c r="S43" s="4" t="b">
        <f>[1]TruckNumbers!S46</f>
        <v>0</v>
      </c>
      <c r="T43" s="4">
        <f>[1]TruckNumbers!T46</f>
        <v>0</v>
      </c>
      <c r="U43">
        <f>[1]TruckNumbers!U46</f>
        <v>11.300000000001091</v>
      </c>
      <c r="V43">
        <f>[1]TruckNumbers!V46</f>
        <v>12497.1</v>
      </c>
      <c r="W43">
        <f>[1]TruckNumbers!W46</f>
        <v>0.10000000000000142</v>
      </c>
      <c r="X43">
        <f>[1]TruckNumbers!X46</f>
        <v>2</v>
      </c>
    </row>
    <row r="44" spans="1:24" x14ac:dyDescent="0.2">
      <c r="A44">
        <f>[1]TruckNumbers!A47</f>
        <v>45086.737500000003</v>
      </c>
      <c r="B44" t="str">
        <f>[1]TruckNumbers!B47</f>
        <v>standard</v>
      </c>
      <c r="C44" s="29" t="str">
        <f>[1]TruckNumbers!C47</f>
        <v>24/7</v>
      </c>
      <c r="D44" s="4">
        <f>[1]TruckNumbers!E47</f>
        <v>12.3</v>
      </c>
      <c r="E44" s="30" t="str">
        <f>[1]TruckNumbers!D47</f>
        <v>Angst anger frustration</v>
      </c>
      <c r="F44" s="4">
        <f>[1]TruckNumbers!G47</f>
        <v>3.9</v>
      </c>
      <c r="G44">
        <f>[1]TruckNumbers!H47</f>
        <v>0.375</v>
      </c>
      <c r="H44" s="4">
        <f>[1]TruckNumbers!I47</f>
        <v>12562.1</v>
      </c>
      <c r="I44" s="4">
        <f>[1]TruckNumbers!F47</f>
        <v>6.5972222222222222E-3</v>
      </c>
      <c r="J44" s="4">
        <f>[1]TruckNumbers!J47</f>
        <v>243</v>
      </c>
      <c r="K44" s="4">
        <f>[1]TruckNumbers!K47</f>
        <v>0</v>
      </c>
      <c r="L44" s="31">
        <f>[1]TruckNumbers!L47</f>
        <v>0</v>
      </c>
      <c r="M44">
        <f>[1]TruckNumbers!M47</f>
        <v>0.15833333333333333</v>
      </c>
      <c r="N44">
        <f>[1]TruckNumbers!N47</f>
        <v>24.631578947368421</v>
      </c>
      <c r="O44" s="4">
        <f>[1]TruckNumbers!O47</f>
        <v>0</v>
      </c>
      <c r="P44" s="28">
        <f>[1]TruckNumbers!P47</f>
        <v>0</v>
      </c>
      <c r="Q44" s="4">
        <f>[1]TruckNumbers!Q47</f>
        <v>8.1989999999999998</v>
      </c>
      <c r="R44" s="4">
        <f>[1]TruckNumbers!R47</f>
        <v>0.375</v>
      </c>
      <c r="S44" s="4" t="b">
        <f>[1]TruckNumbers!S47</f>
        <v>0</v>
      </c>
      <c r="T44" s="4">
        <f>[1]TruckNumbers!T47</f>
        <v>0</v>
      </c>
      <c r="U44">
        <f>[1]TruckNumbers!U47</f>
        <v>61</v>
      </c>
      <c r="V44">
        <f>[1]TruckNumbers!V47</f>
        <v>12558.1</v>
      </c>
      <c r="W44">
        <f>[1]TruckNumbers!W47</f>
        <v>3.6370906286720128E-13</v>
      </c>
      <c r="X44">
        <f>[1]TruckNumbers!X47</f>
        <v>2</v>
      </c>
    </row>
    <row r="45" spans="1:24" x14ac:dyDescent="0.2">
      <c r="A45">
        <f>[1]TruckNumbers!A48</f>
        <v>45819.545138888891</v>
      </c>
      <c r="B45" t="str">
        <f>[1]TruckNumbers!B48</f>
        <v>standard</v>
      </c>
      <c r="C45" s="29" t="str">
        <f>[1]TruckNumbers!C48</f>
        <v>Dollar General</v>
      </c>
      <c r="D45" s="4">
        <f>[1]TruckNumbers!E48</f>
        <v>15.5</v>
      </c>
      <c r="E45" s="30" t="str">
        <f>[1]TruckNumbers!D48</f>
        <v>Depressed and lethargic</v>
      </c>
      <c r="F45" s="4">
        <f>[1]TruckNumbers!G48</f>
        <v>11.8</v>
      </c>
      <c r="G45">
        <f>[1]TruckNumbers!H48</f>
        <v>0.375</v>
      </c>
      <c r="H45" s="4">
        <f>[1]TruckNumbers!I48</f>
        <v>12573.9</v>
      </c>
      <c r="I45" s="4">
        <f>[1]TruckNumbers!F48</f>
        <v>1.4166666666666666E-2</v>
      </c>
      <c r="J45" s="4">
        <f>[1]TruckNumbers!J48</f>
        <v>223</v>
      </c>
      <c r="K45" s="4">
        <f>[1]TruckNumbers!K48</f>
        <v>0</v>
      </c>
      <c r="L45" s="31">
        <f>[1]TruckNumbers!L48</f>
        <v>3.9</v>
      </c>
      <c r="M45">
        <f>[1]TruckNumbers!M48</f>
        <v>0.18166666666666664</v>
      </c>
      <c r="N45">
        <f>[1]TruckNumbers!N48</f>
        <v>64.954128440366986</v>
      </c>
      <c r="O45" s="4">
        <f>[1]TruckNumbers!O48</f>
        <v>0</v>
      </c>
      <c r="P45" s="28">
        <f>[1]TruckNumbers!P48</f>
        <v>0</v>
      </c>
      <c r="Q45" s="4">
        <f>[1]TruckNumbers!Q48</f>
        <v>9.1989999999999998</v>
      </c>
      <c r="R45" s="4">
        <f>[1]TruckNumbers!R48</f>
        <v>0.375</v>
      </c>
      <c r="S45" s="4" t="b">
        <f>[1]TruckNumbers!S48</f>
        <v>1</v>
      </c>
      <c r="T45" s="4">
        <f>[1]TruckNumbers!T48</f>
        <v>7.5694444444444437E-3</v>
      </c>
      <c r="U45">
        <f>[1]TruckNumbers!U48</f>
        <v>3.8999999999996362</v>
      </c>
      <c r="V45">
        <f>[1]TruckNumbers!V48</f>
        <v>12562.1</v>
      </c>
      <c r="W45">
        <f>[1]TruckNumbers!W48</f>
        <v>11.8</v>
      </c>
      <c r="X45">
        <f>[1]TruckNumbers!X48</f>
        <v>0</v>
      </c>
    </row>
    <row r="46" spans="1:24" x14ac:dyDescent="0.2">
      <c r="A46">
        <f>[1]TruckNumbers!A49</f>
        <v>45820.720138888886</v>
      </c>
      <c r="B46">
        <f>[1]TruckNumbers!B49</f>
        <v>0</v>
      </c>
      <c r="C46" s="29" t="str">
        <f>[1]TruckNumbers!C49</f>
        <v>Rnc</v>
      </c>
      <c r="D46" s="4">
        <f>[1]TruckNumbers!E49</f>
        <v>16.899999999999999</v>
      </c>
      <c r="E46" s="30" t="str">
        <f>[1]TruckNumbers!D49</f>
        <v xml:space="preserve">Appointment </v>
      </c>
      <c r="F46" s="4">
        <f>[1]TruckNumbers!G49</f>
        <v>23.8</v>
      </c>
      <c r="G46">
        <f>[1]TruckNumbers!H49</f>
        <v>0.3125</v>
      </c>
      <c r="H46" s="4">
        <f>[1]TruckNumbers!I49</f>
        <v>12597.8</v>
      </c>
      <c r="I46" s="4">
        <f>[1]TruckNumbers!F49</f>
        <v>2.3275462962962963E-2</v>
      </c>
      <c r="J46" s="4">
        <f>[1]TruckNumbers!J49</f>
        <v>189</v>
      </c>
      <c r="K46" s="4">
        <f>[1]TruckNumbers!K49</f>
        <v>0</v>
      </c>
      <c r="L46" s="31">
        <f>[1]TruckNumbers!L49</f>
        <v>0</v>
      </c>
      <c r="M46">
        <f>[1]TruckNumbers!M49</f>
        <v>0</v>
      </c>
      <c r="N46">
        <f>[1]TruckNumbers!N49</f>
        <v>0</v>
      </c>
      <c r="O46" s="4">
        <f>[1]TruckNumbers!O49</f>
        <v>0</v>
      </c>
      <c r="P46" s="28">
        <f>[1]TruckNumbers!P49</f>
        <v>0</v>
      </c>
      <c r="Q46" s="4">
        <f>[1]TruckNumbers!Q49</f>
        <v>0</v>
      </c>
      <c r="R46" s="4">
        <f>[1]TruckNumbers!R49</f>
        <v>0</v>
      </c>
      <c r="S46" s="4">
        <f>[1]TruckNumbers!S49</f>
        <v>0</v>
      </c>
      <c r="T46" s="4">
        <f>[1]TruckNumbers!T49</f>
        <v>0</v>
      </c>
      <c r="U46">
        <f>[1]TruckNumbers!U49</f>
        <v>0</v>
      </c>
      <c r="V46">
        <f>[1]TruckNumbers!V49</f>
        <v>0</v>
      </c>
      <c r="W46">
        <f>[1]TruckNumbers!W49</f>
        <v>0</v>
      </c>
      <c r="X46">
        <f>[1]TruckNumbers!X49</f>
        <v>0</v>
      </c>
    </row>
    <row r="47" spans="1:24" x14ac:dyDescent="0.2">
      <c r="A47">
        <f>[1]TruckNumbers!A50</f>
        <v>45821.381944444445</v>
      </c>
      <c r="B47">
        <f>[1]TruckNumbers!B50</f>
        <v>0</v>
      </c>
      <c r="C47" s="29" t="str">
        <f>[1]TruckNumbers!C50</f>
        <v>24/7</v>
      </c>
      <c r="D47" s="4">
        <f>[1]TruckNumbers!E50</f>
        <v>11.4</v>
      </c>
      <c r="E47" s="30" t="str">
        <f>[1]TruckNumbers!D50</f>
        <v>Depressed lethargic unable to work</v>
      </c>
      <c r="F47" s="4">
        <f>[1]TruckNumbers!G50</f>
        <v>3.9</v>
      </c>
      <c r="G47">
        <f>[1]TruckNumbers!H50</f>
        <v>0.25</v>
      </c>
      <c r="H47" s="4">
        <f>[1]TruckNumbers!I50</f>
        <v>12601.8</v>
      </c>
      <c r="I47" s="4">
        <f>[1]TruckNumbers!F50</f>
        <v>6.5162037037037037E-3</v>
      </c>
      <c r="J47" s="4">
        <f>[1]TruckNumbers!J50</f>
        <v>181</v>
      </c>
      <c r="K47" s="4">
        <f>[1]TruckNumbers!K50</f>
        <v>0</v>
      </c>
      <c r="L47" s="31">
        <f>[1]TruckNumbers!L50</f>
        <v>0</v>
      </c>
      <c r="M47">
        <f>[1]TruckNumbers!M50</f>
        <v>0</v>
      </c>
      <c r="N47">
        <f>[1]TruckNumbers!N50</f>
        <v>0</v>
      </c>
      <c r="O47" s="4">
        <f>[1]TruckNumbers!O50</f>
        <v>0</v>
      </c>
      <c r="P47" s="28">
        <f>[1]TruckNumbers!P50</f>
        <v>0</v>
      </c>
      <c r="Q47" s="4">
        <f>[1]TruckNumbers!Q50</f>
        <v>0</v>
      </c>
      <c r="R47" s="4">
        <f>[1]TruckNumbers!R50</f>
        <v>0</v>
      </c>
      <c r="S47" s="4">
        <f>[1]TruckNumbers!S50</f>
        <v>0</v>
      </c>
      <c r="T47" s="4">
        <f>[1]TruckNumbers!T50</f>
        <v>0</v>
      </c>
      <c r="U47">
        <f>[1]TruckNumbers!U50</f>
        <v>0</v>
      </c>
      <c r="V47">
        <f>[1]TruckNumbers!V50</f>
        <v>0</v>
      </c>
      <c r="W47">
        <f>[1]TruckNumbers!W50</f>
        <v>0</v>
      </c>
      <c r="X47">
        <f>[1]TruckNumbers!X50</f>
        <v>0</v>
      </c>
    </row>
    <row r="48" spans="1:24" x14ac:dyDescent="0.2">
      <c r="A48">
        <f>[1]TruckNumbers!A51</f>
        <v>45821.654166666667</v>
      </c>
      <c r="B48">
        <f>[1]TruckNumbers!B51</f>
        <v>0</v>
      </c>
      <c r="C48" s="29" t="str">
        <f>[1]TruckNumbers!C51</f>
        <v>Chevron</v>
      </c>
      <c r="D48" s="4">
        <f>[1]TruckNumbers!E51</f>
        <v>11.4</v>
      </c>
      <c r="E48" s="30" t="str">
        <f>[1]TruckNumbers!D51</f>
        <v>My butt hurt got gas at Chevron</v>
      </c>
      <c r="F48" s="4">
        <f>[1]TruckNumbers!G51</f>
        <v>13.8</v>
      </c>
      <c r="G48">
        <f>[1]TruckNumbers!H51</f>
        <v>1</v>
      </c>
      <c r="H48" s="4">
        <f>[1]TruckNumbers!I51</f>
        <v>12615.6</v>
      </c>
      <c r="I48" s="4">
        <f>[1]TruckNumbers!F51</f>
        <v>4.1736111111111113E-2</v>
      </c>
      <c r="J48" s="4">
        <f>[1]TruckNumbers!J51</f>
        <v>598</v>
      </c>
      <c r="K48" s="4">
        <f>[1]TruckNumbers!K51</f>
        <v>0</v>
      </c>
      <c r="L48" s="31">
        <f>[1]TruckNumbers!L51</f>
        <v>0</v>
      </c>
      <c r="M48">
        <f>[1]TruckNumbers!M51</f>
        <v>0</v>
      </c>
      <c r="N48">
        <f>[1]TruckNumbers!N51</f>
        <v>0</v>
      </c>
      <c r="O48" s="4">
        <f>[1]TruckNumbers!O51</f>
        <v>0</v>
      </c>
      <c r="P48" s="28">
        <f>[1]TruckNumbers!P51</f>
        <v>0</v>
      </c>
      <c r="Q48" s="4">
        <f>[1]TruckNumbers!Q51</f>
        <v>0</v>
      </c>
      <c r="R48" s="4">
        <f>[1]TruckNumbers!R51</f>
        <v>0</v>
      </c>
      <c r="S48" s="4">
        <f>[1]TruckNumbers!S51</f>
        <v>0</v>
      </c>
      <c r="T48" s="4">
        <f>[1]TruckNumbers!T51</f>
        <v>0</v>
      </c>
      <c r="U48">
        <f>[1]TruckNumbers!U51</f>
        <v>0</v>
      </c>
      <c r="V48">
        <f>[1]TruckNumbers!V51</f>
        <v>0</v>
      </c>
      <c r="W48">
        <f>[1]TruckNumbers!W51</f>
        <v>0</v>
      </c>
      <c r="X48">
        <f>[1]TruckNumbers!X51</f>
        <v>0</v>
      </c>
    </row>
    <row r="49" spans="1:24" x14ac:dyDescent="0.2">
      <c r="A49">
        <f>[1]TruckNumbers!A52</f>
        <v>45821.25</v>
      </c>
      <c r="B49">
        <f>[1]TruckNumbers!B52</f>
        <v>0</v>
      </c>
      <c r="C49" s="29" t="str">
        <f>[1]TruckNumbers!C52</f>
        <v>Great clips, smiths</v>
      </c>
      <c r="D49" s="4">
        <f>[1]TruckNumbers!E52</f>
        <v>19.2</v>
      </c>
      <c r="E49" s="30" t="str">
        <f>[1]TruckNumbers!D52</f>
        <v>Depressed, despair, lonely</v>
      </c>
      <c r="F49" s="4">
        <f>[1]TruckNumbers!G52</f>
        <v>56.1</v>
      </c>
      <c r="G49">
        <f>[1]TruckNumbers!H52</f>
        <v>0.9375</v>
      </c>
      <c r="H49" s="4">
        <f>[1]TruckNumbers!I52</f>
        <v>12671.7</v>
      </c>
      <c r="I49" s="4">
        <f>[1]TruckNumbers!F52</f>
        <v>4.8125000000000001E-2</v>
      </c>
      <c r="J49" s="4">
        <f>[1]TruckNumbers!J52</f>
        <v>553</v>
      </c>
      <c r="K49" s="4">
        <f>[1]TruckNumbers!K52</f>
        <v>0</v>
      </c>
      <c r="L49" s="31">
        <f>[1]TruckNumbers!L52</f>
        <v>0</v>
      </c>
      <c r="M49">
        <f>[1]TruckNumbers!M52</f>
        <v>0</v>
      </c>
      <c r="N49">
        <f>[1]TruckNumbers!N52</f>
        <v>0</v>
      </c>
      <c r="O49" s="4">
        <f>[1]TruckNumbers!O52</f>
        <v>0</v>
      </c>
      <c r="P49" s="28">
        <f>[1]TruckNumbers!P52</f>
        <v>0</v>
      </c>
      <c r="Q49" s="4">
        <f>[1]TruckNumbers!Q52</f>
        <v>0</v>
      </c>
      <c r="R49" s="4">
        <f>[1]TruckNumbers!R52</f>
        <v>0</v>
      </c>
      <c r="S49" s="4">
        <f>[1]TruckNumbers!S52</f>
        <v>0</v>
      </c>
      <c r="T49" s="4">
        <f>[1]TruckNumbers!T52</f>
        <v>0</v>
      </c>
      <c r="U49">
        <f>[1]TruckNumbers!U52</f>
        <v>0</v>
      </c>
      <c r="V49">
        <f>[1]TruckNumbers!V52</f>
        <v>0</v>
      </c>
      <c r="W49">
        <f>[1]TruckNumbers!W52</f>
        <v>0</v>
      </c>
      <c r="X49">
        <f>[1]TruckNumbers!X52</f>
        <v>0</v>
      </c>
    </row>
    <row r="50" spans="1:24" x14ac:dyDescent="0.2">
      <c r="A50">
        <f>[1]TruckNumbers!A53</f>
        <v>45823.289583333331</v>
      </c>
      <c r="B50">
        <f>[1]TruckNumbers!B53</f>
        <v>0</v>
      </c>
      <c r="C50" s="29" t="str">
        <f>[1]TruckNumbers!C53</f>
        <v>Chevron</v>
      </c>
      <c r="D50" s="4">
        <f>[1]TruckNumbers!E53</f>
        <v>18.8</v>
      </c>
      <c r="E50" s="30" t="str">
        <f>[1]TruckNumbers!D53</f>
        <v>Despair, hopeless</v>
      </c>
      <c r="F50" s="4">
        <f>[1]TruckNumbers!G53</f>
        <v>15.9</v>
      </c>
      <c r="G50">
        <f>[1]TruckNumbers!H53</f>
        <v>0.875</v>
      </c>
      <c r="H50" s="4">
        <f>[1]TruckNumbers!I53</f>
        <v>12687.7</v>
      </c>
      <c r="I50" s="4">
        <f>[1]TruckNumbers!F53</f>
        <v>1.758101851851852E-2</v>
      </c>
      <c r="J50" s="4">
        <f>[1]TruckNumbers!J53</f>
        <v>531</v>
      </c>
      <c r="K50" s="4">
        <f>[1]TruckNumbers!K53</f>
        <v>0</v>
      </c>
      <c r="L50" s="31">
        <f>[1]TruckNumbers!L53</f>
        <v>0</v>
      </c>
      <c r="M50">
        <f>[1]TruckNumbers!M53</f>
        <v>0</v>
      </c>
      <c r="N50">
        <f>[1]TruckNumbers!N53</f>
        <v>0</v>
      </c>
      <c r="O50" s="4">
        <f>[1]TruckNumbers!O53</f>
        <v>0</v>
      </c>
      <c r="P50" s="28">
        <f>[1]TruckNumbers!P53</f>
        <v>0</v>
      </c>
      <c r="Q50" s="4">
        <f>[1]TruckNumbers!Q53</f>
        <v>0</v>
      </c>
      <c r="R50" s="4">
        <f>[1]TruckNumbers!R53</f>
        <v>0</v>
      </c>
      <c r="S50" s="4">
        <f>[1]TruckNumbers!S53</f>
        <v>0</v>
      </c>
      <c r="T50" s="4">
        <f>[1]TruckNumbers!T53</f>
        <v>0</v>
      </c>
      <c r="U50">
        <f>[1]TruckNumbers!U53</f>
        <v>0</v>
      </c>
      <c r="V50">
        <f>[1]TruckNumbers!V53</f>
        <v>0</v>
      </c>
      <c r="W50">
        <f>[1]TruckNumbers!W53</f>
        <v>0</v>
      </c>
      <c r="X50">
        <f>[1]TruckNumbers!X53</f>
        <v>0</v>
      </c>
    </row>
    <row r="51" spans="1:24" x14ac:dyDescent="0.2">
      <c r="A51">
        <f>[1]TruckNumbers!A54</f>
        <v>45823.461111111108</v>
      </c>
      <c r="B51">
        <f>[1]TruckNumbers!B54</f>
        <v>0</v>
      </c>
      <c r="C51" s="29" t="str">
        <f>[1]TruckNumbers!C54</f>
        <v>Ft Churchill</v>
      </c>
      <c r="D51" s="4">
        <f>[1]TruckNumbers!E54</f>
        <v>16.8</v>
      </c>
      <c r="E51" s="30" t="str">
        <f>[1]TruckNumbers!D54</f>
        <v>Coffee wa ranger</v>
      </c>
      <c r="F51" s="4">
        <f>[1]TruckNumbers!G54</f>
        <v>13</v>
      </c>
      <c r="G51">
        <f>[1]TruckNumbers!H54</f>
        <v>0.875</v>
      </c>
      <c r="H51" s="4">
        <f>[1]TruckNumbers!I54</f>
        <v>12700.8</v>
      </c>
      <c r="I51" s="4">
        <f>[1]TruckNumbers!F54</f>
        <v>2.2800925925925926E-2</v>
      </c>
      <c r="J51" s="4">
        <f>[1]TruckNumbers!J54</f>
        <v>512</v>
      </c>
      <c r="K51" s="4">
        <f>[1]TruckNumbers!K54</f>
        <v>0</v>
      </c>
      <c r="L51" s="31">
        <f>[1]TruckNumbers!L54</f>
        <v>0</v>
      </c>
      <c r="M51">
        <f>[1]TruckNumbers!M54</f>
        <v>0</v>
      </c>
      <c r="N51">
        <f>[1]TruckNumbers!N54</f>
        <v>0</v>
      </c>
      <c r="O51" s="4">
        <f>[1]TruckNumbers!O54</f>
        <v>0</v>
      </c>
      <c r="P51" s="28">
        <f>[1]TruckNumbers!P54</f>
        <v>0</v>
      </c>
      <c r="Q51" s="4">
        <f>[1]TruckNumbers!Q54</f>
        <v>0</v>
      </c>
      <c r="R51" s="4">
        <f>[1]TruckNumbers!R54</f>
        <v>0</v>
      </c>
      <c r="S51" s="4">
        <f>[1]TruckNumbers!S54</f>
        <v>0</v>
      </c>
      <c r="T51" s="4">
        <f>[1]TruckNumbers!T54</f>
        <v>0</v>
      </c>
      <c r="U51">
        <f>[1]TruckNumbers!U54</f>
        <v>0</v>
      </c>
      <c r="V51">
        <f>[1]TruckNumbers!V54</f>
        <v>0</v>
      </c>
      <c r="W51">
        <f>[1]TruckNumbers!W54</f>
        <v>0</v>
      </c>
      <c r="X51">
        <f>[1]TruckNumbers!X54</f>
        <v>0</v>
      </c>
    </row>
    <row r="52" spans="1:24" x14ac:dyDescent="0.2">
      <c r="A52">
        <f>[1]TruckNumbers!A55</f>
        <v>0</v>
      </c>
      <c r="B52">
        <f>[1]TruckNumbers!B55</f>
        <v>0</v>
      </c>
      <c r="C52" s="29">
        <f>[1]TruckNumbers!C55</f>
        <v>0</v>
      </c>
      <c r="D52" s="4">
        <f>[1]TruckNumbers!E55</f>
        <v>0</v>
      </c>
      <c r="E52" s="30">
        <f>[1]TruckNumbers!D55</f>
        <v>0</v>
      </c>
      <c r="F52" s="4">
        <f>[1]TruckNumbers!G55</f>
        <v>0</v>
      </c>
      <c r="G52">
        <f>[1]TruckNumbers!H55</f>
        <v>0</v>
      </c>
      <c r="H52" s="4">
        <f>[1]TruckNumbers!I55</f>
        <v>0</v>
      </c>
      <c r="I52" s="4">
        <f>[1]TruckNumbers!F55</f>
        <v>0</v>
      </c>
      <c r="J52" s="4">
        <f>[1]TruckNumbers!J55</f>
        <v>0</v>
      </c>
      <c r="K52" s="4">
        <f>[1]TruckNumbers!K55</f>
        <v>0</v>
      </c>
      <c r="L52" s="31">
        <f>[1]TruckNumbers!L55</f>
        <v>0</v>
      </c>
      <c r="M52">
        <f>[1]TruckNumbers!M55</f>
        <v>0</v>
      </c>
      <c r="N52">
        <f>[1]TruckNumbers!N55</f>
        <v>0</v>
      </c>
      <c r="O52" s="4">
        <f>[1]TruckNumbers!O55</f>
        <v>0</v>
      </c>
      <c r="P52" s="28">
        <f>[1]TruckNumbers!P55</f>
        <v>0</v>
      </c>
      <c r="Q52" s="4">
        <f>[1]TruckNumbers!Q55</f>
        <v>0</v>
      </c>
      <c r="R52" s="4">
        <f>[1]TruckNumbers!R55</f>
        <v>0</v>
      </c>
      <c r="S52" s="4">
        <f>[1]TruckNumbers!S55</f>
        <v>0</v>
      </c>
      <c r="T52" s="4">
        <f>[1]TruckNumbers!T55</f>
        <v>0</v>
      </c>
      <c r="U52">
        <f>[1]TruckNumbers!U55</f>
        <v>0</v>
      </c>
      <c r="V52">
        <f>[1]TruckNumbers!V55</f>
        <v>0</v>
      </c>
      <c r="W52">
        <f>[1]TruckNumbers!W55</f>
        <v>0</v>
      </c>
      <c r="X52">
        <f>[1]TruckNumbers!X55</f>
        <v>0</v>
      </c>
    </row>
    <row r="53" spans="1:24" x14ac:dyDescent="0.2">
      <c r="A53">
        <f>[1]TruckNumbers!A56</f>
        <v>0</v>
      </c>
      <c r="B53">
        <f>[1]TruckNumbers!B56</f>
        <v>0</v>
      </c>
      <c r="C53" s="29">
        <f>[1]TruckNumbers!C56</f>
        <v>0</v>
      </c>
      <c r="D53" s="4">
        <f>[1]TruckNumbers!E56</f>
        <v>0</v>
      </c>
      <c r="E53" s="30">
        <f>[1]TruckNumbers!D56</f>
        <v>0</v>
      </c>
      <c r="F53" s="4">
        <f>[1]TruckNumbers!G56</f>
        <v>0</v>
      </c>
      <c r="G53">
        <f>[1]TruckNumbers!H56</f>
        <v>0</v>
      </c>
      <c r="H53" s="4">
        <f>[1]TruckNumbers!I56</f>
        <v>0</v>
      </c>
      <c r="I53" s="4">
        <f>[1]TruckNumbers!F56</f>
        <v>0</v>
      </c>
      <c r="J53" s="4">
        <f>[1]TruckNumbers!J56</f>
        <v>0</v>
      </c>
      <c r="K53" s="4">
        <f>[1]TruckNumbers!K56</f>
        <v>0</v>
      </c>
      <c r="L53" s="31">
        <f>[1]TruckNumbers!L56</f>
        <v>0</v>
      </c>
      <c r="M53">
        <f>[1]TruckNumbers!M56</f>
        <v>0</v>
      </c>
      <c r="N53">
        <f>[1]TruckNumbers!N56</f>
        <v>0</v>
      </c>
      <c r="O53" s="4">
        <f>[1]TruckNumbers!O56</f>
        <v>0</v>
      </c>
      <c r="P53" s="28">
        <f>[1]TruckNumbers!P56</f>
        <v>0</v>
      </c>
      <c r="Q53" s="4">
        <f>[1]TruckNumbers!Q56</f>
        <v>0</v>
      </c>
      <c r="R53" s="4">
        <f>[1]TruckNumbers!R56</f>
        <v>0</v>
      </c>
      <c r="S53" s="4">
        <f>[1]TruckNumbers!S56</f>
        <v>0</v>
      </c>
      <c r="T53" s="4">
        <f>[1]TruckNumbers!T56</f>
        <v>0</v>
      </c>
      <c r="U53">
        <f>[1]TruckNumbers!U56</f>
        <v>0</v>
      </c>
      <c r="V53">
        <f>[1]TruckNumbers!V56</f>
        <v>0</v>
      </c>
      <c r="W53">
        <f>[1]TruckNumbers!W56</f>
        <v>0</v>
      </c>
      <c r="X53">
        <f>[1]TruckNumbers!X56</f>
        <v>0</v>
      </c>
    </row>
    <row r="54" spans="1:24" x14ac:dyDescent="0.2">
      <c r="A54">
        <f>[1]TruckNumbers!A57</f>
        <v>0</v>
      </c>
      <c r="B54">
        <f>[1]TruckNumbers!B57</f>
        <v>0</v>
      </c>
      <c r="C54" s="29">
        <f>[1]TruckNumbers!C57</f>
        <v>0</v>
      </c>
      <c r="D54" s="4">
        <f>[1]TruckNumbers!E57</f>
        <v>0</v>
      </c>
      <c r="E54" s="30">
        <f>[1]TruckNumbers!D57</f>
        <v>0</v>
      </c>
      <c r="F54" s="4">
        <f>[1]TruckNumbers!G57</f>
        <v>0</v>
      </c>
      <c r="G54">
        <f>[1]TruckNumbers!H57</f>
        <v>0</v>
      </c>
      <c r="H54" s="4">
        <f>[1]TruckNumbers!I57</f>
        <v>0</v>
      </c>
      <c r="I54" s="4">
        <f>[1]TruckNumbers!F57</f>
        <v>0</v>
      </c>
      <c r="J54" s="4">
        <f>[1]TruckNumbers!J57</f>
        <v>0</v>
      </c>
      <c r="K54" s="4">
        <f>[1]TruckNumbers!K57</f>
        <v>0</v>
      </c>
      <c r="L54" s="31">
        <f>[1]TruckNumbers!L57</f>
        <v>0</v>
      </c>
      <c r="M54">
        <f>[1]TruckNumbers!M57</f>
        <v>0</v>
      </c>
      <c r="N54">
        <f>[1]TruckNumbers!N57</f>
        <v>0</v>
      </c>
      <c r="O54" s="4">
        <f>[1]TruckNumbers!O57</f>
        <v>0</v>
      </c>
      <c r="P54" s="28">
        <f>[1]TruckNumbers!P57</f>
        <v>0</v>
      </c>
      <c r="Q54" s="4">
        <f>[1]TruckNumbers!Q57</f>
        <v>0</v>
      </c>
      <c r="R54" s="4">
        <f>[1]TruckNumbers!R57</f>
        <v>0</v>
      </c>
      <c r="S54" s="4">
        <f>[1]TruckNumbers!S57</f>
        <v>0</v>
      </c>
      <c r="T54" s="4">
        <f>[1]TruckNumbers!T57</f>
        <v>0</v>
      </c>
      <c r="U54">
        <f>[1]TruckNumbers!U57</f>
        <v>0</v>
      </c>
      <c r="V54">
        <f>[1]TruckNumbers!V57</f>
        <v>0</v>
      </c>
      <c r="W54">
        <f>[1]TruckNumbers!W57</f>
        <v>0</v>
      </c>
      <c r="X54">
        <f>[1]TruckNumbers!X57</f>
        <v>0</v>
      </c>
    </row>
    <row r="55" spans="1:24" x14ac:dyDescent="0.2">
      <c r="A55">
        <f>[1]TruckNumbers!A58</f>
        <v>0</v>
      </c>
      <c r="B55">
        <f>[1]TruckNumbers!B58</f>
        <v>0</v>
      </c>
      <c r="C55" s="29">
        <f>[1]TruckNumbers!C58</f>
        <v>0</v>
      </c>
      <c r="D55" s="4">
        <f>[1]TruckNumbers!E58</f>
        <v>0</v>
      </c>
      <c r="E55" s="30">
        <f>[1]TruckNumbers!D58</f>
        <v>0</v>
      </c>
      <c r="F55" s="4">
        <f>[1]TruckNumbers!G58</f>
        <v>0</v>
      </c>
      <c r="G55">
        <f>[1]TruckNumbers!H58</f>
        <v>0</v>
      </c>
      <c r="H55" s="4">
        <f>[1]TruckNumbers!I58</f>
        <v>0</v>
      </c>
      <c r="I55" s="4">
        <f>[1]TruckNumbers!F58</f>
        <v>0</v>
      </c>
      <c r="J55" s="4">
        <f>[1]TruckNumbers!J58</f>
        <v>0</v>
      </c>
      <c r="K55" s="4">
        <f>[1]TruckNumbers!K58</f>
        <v>0</v>
      </c>
      <c r="L55" s="31">
        <f>[1]TruckNumbers!L58</f>
        <v>0</v>
      </c>
      <c r="M55">
        <f>[1]TruckNumbers!M58</f>
        <v>0</v>
      </c>
      <c r="N55">
        <f>[1]TruckNumbers!N58</f>
        <v>0</v>
      </c>
      <c r="O55" s="4">
        <f>[1]TruckNumbers!O58</f>
        <v>0</v>
      </c>
      <c r="P55" s="28">
        <f>[1]TruckNumbers!P58</f>
        <v>0</v>
      </c>
      <c r="Q55" s="4">
        <f>[1]TruckNumbers!Q58</f>
        <v>0</v>
      </c>
      <c r="R55" s="4">
        <f>[1]TruckNumbers!R58</f>
        <v>0</v>
      </c>
      <c r="S55" s="4">
        <f>[1]TruckNumbers!S58</f>
        <v>0</v>
      </c>
      <c r="T55" s="4">
        <f>[1]TruckNumbers!T58</f>
        <v>0</v>
      </c>
      <c r="U55">
        <f>[1]TruckNumbers!U58</f>
        <v>0</v>
      </c>
      <c r="V55">
        <f>[1]TruckNumbers!V58</f>
        <v>0</v>
      </c>
      <c r="W55">
        <f>[1]TruckNumbers!W58</f>
        <v>0</v>
      </c>
      <c r="X55">
        <f>[1]TruckNumbers!X58</f>
        <v>0</v>
      </c>
    </row>
    <row r="56" spans="1:24" x14ac:dyDescent="0.2">
      <c r="A56">
        <f>[1]TruckNumbers!A59</f>
        <v>0</v>
      </c>
      <c r="B56">
        <f>[1]TruckNumbers!B59</f>
        <v>0</v>
      </c>
      <c r="C56" s="29">
        <f>[1]TruckNumbers!C59</f>
        <v>0</v>
      </c>
      <c r="D56" s="4">
        <f>[1]TruckNumbers!E59</f>
        <v>0</v>
      </c>
      <c r="E56" s="30">
        <f>[1]TruckNumbers!D59</f>
        <v>0</v>
      </c>
      <c r="F56" s="4">
        <f>[1]TruckNumbers!G59</f>
        <v>0</v>
      </c>
      <c r="G56">
        <f>[1]TruckNumbers!H59</f>
        <v>0</v>
      </c>
      <c r="H56" s="4">
        <f>[1]TruckNumbers!I59</f>
        <v>0</v>
      </c>
      <c r="I56" s="4">
        <f>[1]TruckNumbers!F59</f>
        <v>0</v>
      </c>
      <c r="J56" s="4">
        <f>[1]TruckNumbers!J59</f>
        <v>0</v>
      </c>
      <c r="K56" s="4">
        <f>[1]TruckNumbers!K59</f>
        <v>0</v>
      </c>
      <c r="L56" s="31">
        <f>[1]TruckNumbers!L59</f>
        <v>0</v>
      </c>
      <c r="M56">
        <f>[1]TruckNumbers!M59</f>
        <v>0</v>
      </c>
      <c r="N56">
        <f>[1]TruckNumbers!N59</f>
        <v>0</v>
      </c>
      <c r="O56" s="4">
        <f>[1]TruckNumbers!O59</f>
        <v>0</v>
      </c>
      <c r="P56" s="28">
        <f>[1]TruckNumbers!P59</f>
        <v>0</v>
      </c>
      <c r="Q56" s="4">
        <f>[1]TruckNumbers!Q59</f>
        <v>0</v>
      </c>
      <c r="R56" s="4">
        <f>[1]TruckNumbers!R59</f>
        <v>0</v>
      </c>
      <c r="S56" s="4">
        <f>[1]TruckNumbers!S59</f>
        <v>0</v>
      </c>
      <c r="T56" s="4">
        <f>[1]TruckNumbers!T59</f>
        <v>0</v>
      </c>
      <c r="U56">
        <f>[1]TruckNumbers!U59</f>
        <v>0</v>
      </c>
      <c r="V56">
        <f>[1]TruckNumbers!V59</f>
        <v>0</v>
      </c>
      <c r="W56">
        <f>[1]TruckNumbers!W59</f>
        <v>0</v>
      </c>
      <c r="X56">
        <f>[1]TruckNumbers!X59</f>
        <v>0</v>
      </c>
    </row>
    <row r="57" spans="1:24" x14ac:dyDescent="0.2">
      <c r="A57">
        <f>[1]TruckNumbers!A60</f>
        <v>0</v>
      </c>
      <c r="B57">
        <f>[1]TruckNumbers!B60</f>
        <v>0</v>
      </c>
      <c r="C57" s="29">
        <f>[1]TruckNumbers!C60</f>
        <v>0</v>
      </c>
      <c r="D57" s="4">
        <f>[1]TruckNumbers!E60</f>
        <v>0</v>
      </c>
      <c r="E57" s="30">
        <f>[1]TruckNumbers!D60</f>
        <v>0</v>
      </c>
      <c r="F57" s="4">
        <f>[1]TruckNumbers!G60</f>
        <v>0</v>
      </c>
      <c r="G57">
        <f>[1]TruckNumbers!H60</f>
        <v>0</v>
      </c>
      <c r="H57" s="4">
        <f>[1]TruckNumbers!I60</f>
        <v>0</v>
      </c>
      <c r="I57" s="4">
        <f>[1]TruckNumbers!F60</f>
        <v>0</v>
      </c>
      <c r="J57" s="4">
        <f>[1]TruckNumbers!J60</f>
        <v>0</v>
      </c>
      <c r="K57" s="4">
        <f>[1]TruckNumbers!K60</f>
        <v>0</v>
      </c>
      <c r="L57" s="31">
        <f>[1]TruckNumbers!L60</f>
        <v>0</v>
      </c>
      <c r="M57">
        <f>[1]TruckNumbers!M60</f>
        <v>0</v>
      </c>
      <c r="N57">
        <f>[1]TruckNumbers!N60</f>
        <v>0</v>
      </c>
      <c r="O57" s="4">
        <f>[1]TruckNumbers!O60</f>
        <v>0</v>
      </c>
      <c r="P57" s="28">
        <f>[1]TruckNumbers!P60</f>
        <v>0</v>
      </c>
      <c r="Q57" s="4">
        <f>[1]TruckNumbers!Q60</f>
        <v>0</v>
      </c>
      <c r="R57" s="4">
        <f>[1]TruckNumbers!R60</f>
        <v>0</v>
      </c>
      <c r="S57" s="4">
        <f>[1]TruckNumbers!S60</f>
        <v>0</v>
      </c>
      <c r="T57" s="4">
        <f>[1]TruckNumbers!T60</f>
        <v>0</v>
      </c>
      <c r="U57">
        <f>[1]TruckNumbers!U60</f>
        <v>0</v>
      </c>
      <c r="V57">
        <f>[1]TruckNumbers!V60</f>
        <v>0</v>
      </c>
      <c r="W57">
        <f>[1]TruckNumbers!W60</f>
        <v>0</v>
      </c>
      <c r="X57">
        <f>[1]TruckNumbers!X60</f>
        <v>0</v>
      </c>
    </row>
    <row r="58" spans="1:24" x14ac:dyDescent="0.2">
      <c r="A58">
        <f>[1]TruckNumbers!A61</f>
        <v>0</v>
      </c>
      <c r="B58">
        <f>[1]TruckNumbers!B61</f>
        <v>0</v>
      </c>
      <c r="C58" s="29">
        <f>[1]TruckNumbers!C61</f>
        <v>0</v>
      </c>
      <c r="D58" s="4">
        <f>[1]TruckNumbers!E61</f>
        <v>0</v>
      </c>
      <c r="E58" s="30">
        <f>[1]TruckNumbers!D61</f>
        <v>0</v>
      </c>
      <c r="F58" s="4">
        <f>[1]TruckNumbers!G61</f>
        <v>0</v>
      </c>
      <c r="G58">
        <f>[1]TruckNumbers!H61</f>
        <v>0</v>
      </c>
      <c r="H58" s="4">
        <f>[1]TruckNumbers!I61</f>
        <v>0</v>
      </c>
      <c r="I58" s="4">
        <f>[1]TruckNumbers!F61</f>
        <v>0</v>
      </c>
      <c r="J58" s="4">
        <f>[1]TruckNumbers!J61</f>
        <v>0</v>
      </c>
      <c r="K58" s="4">
        <f>[1]TruckNumbers!K61</f>
        <v>0</v>
      </c>
      <c r="L58" s="31">
        <f>[1]TruckNumbers!L61</f>
        <v>0</v>
      </c>
      <c r="M58">
        <f>[1]TruckNumbers!M61</f>
        <v>0</v>
      </c>
      <c r="N58">
        <f>[1]TruckNumbers!N61</f>
        <v>0</v>
      </c>
      <c r="O58" s="4">
        <f>[1]TruckNumbers!O61</f>
        <v>0</v>
      </c>
      <c r="P58" s="28">
        <f>[1]TruckNumbers!P61</f>
        <v>0</v>
      </c>
      <c r="Q58" s="4">
        <f>[1]TruckNumbers!Q61</f>
        <v>0</v>
      </c>
      <c r="R58" s="4">
        <f>[1]TruckNumbers!R61</f>
        <v>0</v>
      </c>
      <c r="S58" s="4">
        <f>[1]TruckNumbers!S61</f>
        <v>0</v>
      </c>
      <c r="T58" s="4">
        <f>[1]TruckNumbers!T61</f>
        <v>0</v>
      </c>
      <c r="U58">
        <f>[1]TruckNumbers!U61</f>
        <v>0</v>
      </c>
      <c r="V58">
        <f>[1]TruckNumbers!V61</f>
        <v>0</v>
      </c>
      <c r="W58">
        <f>[1]TruckNumbers!W61</f>
        <v>0</v>
      </c>
      <c r="X58">
        <f>[1]TruckNumbers!X61</f>
        <v>0</v>
      </c>
    </row>
    <row r="59" spans="1:24" x14ac:dyDescent="0.2">
      <c r="A59">
        <f>[1]TruckNumbers!A62</f>
        <v>0</v>
      </c>
      <c r="B59">
        <f>[1]TruckNumbers!B62</f>
        <v>0</v>
      </c>
      <c r="C59" s="29">
        <f>[1]TruckNumbers!C62</f>
        <v>0</v>
      </c>
      <c r="D59" s="4">
        <f>[1]TruckNumbers!E62</f>
        <v>0</v>
      </c>
      <c r="E59" s="30">
        <f>[1]TruckNumbers!D62</f>
        <v>0</v>
      </c>
      <c r="F59" s="4">
        <f>[1]TruckNumbers!G62</f>
        <v>0</v>
      </c>
      <c r="G59">
        <f>[1]TruckNumbers!H62</f>
        <v>0</v>
      </c>
      <c r="H59" s="4">
        <f>[1]TruckNumbers!I62</f>
        <v>0</v>
      </c>
      <c r="I59" s="4">
        <f>[1]TruckNumbers!F62</f>
        <v>0</v>
      </c>
      <c r="J59" s="4">
        <f>[1]TruckNumbers!J62</f>
        <v>0</v>
      </c>
      <c r="K59" s="4">
        <f>[1]TruckNumbers!K62</f>
        <v>0</v>
      </c>
      <c r="L59" s="31">
        <f>[1]TruckNumbers!L62</f>
        <v>0</v>
      </c>
      <c r="M59">
        <f>[1]TruckNumbers!M62</f>
        <v>0</v>
      </c>
      <c r="N59">
        <f>[1]TruckNumbers!N62</f>
        <v>0</v>
      </c>
      <c r="O59" s="4">
        <f>[1]TruckNumbers!O62</f>
        <v>0</v>
      </c>
      <c r="P59" s="28">
        <f>[1]TruckNumbers!P62</f>
        <v>0</v>
      </c>
      <c r="Q59" s="4">
        <f>[1]TruckNumbers!Q62</f>
        <v>0</v>
      </c>
      <c r="R59" s="4">
        <f>[1]TruckNumbers!R62</f>
        <v>0</v>
      </c>
      <c r="S59" s="4">
        <f>[1]TruckNumbers!S62</f>
        <v>0</v>
      </c>
      <c r="T59" s="4">
        <f>[1]TruckNumbers!T62</f>
        <v>0</v>
      </c>
      <c r="U59">
        <f>[1]TruckNumbers!U62</f>
        <v>0</v>
      </c>
      <c r="V59">
        <f>[1]TruckNumbers!V62</f>
        <v>0</v>
      </c>
      <c r="W59">
        <f>[1]TruckNumbers!W62</f>
        <v>0</v>
      </c>
      <c r="X59">
        <f>[1]TruckNumbers!X62</f>
        <v>0</v>
      </c>
    </row>
    <row r="60" spans="1:24" x14ac:dyDescent="0.2">
      <c r="A60">
        <f>[1]TruckNumbers!A63</f>
        <v>0</v>
      </c>
      <c r="B60">
        <f>[1]TruckNumbers!B63</f>
        <v>0</v>
      </c>
      <c r="C60" s="29">
        <f>[1]TruckNumbers!C63</f>
        <v>0</v>
      </c>
      <c r="D60" s="4">
        <f>[1]TruckNumbers!E63</f>
        <v>0</v>
      </c>
      <c r="E60" s="30">
        <f>[1]TruckNumbers!D63</f>
        <v>0</v>
      </c>
      <c r="F60" s="4">
        <f>[1]TruckNumbers!G63</f>
        <v>0</v>
      </c>
      <c r="G60">
        <f>[1]TruckNumbers!H63</f>
        <v>0</v>
      </c>
      <c r="H60" s="4">
        <f>[1]TruckNumbers!I63</f>
        <v>0</v>
      </c>
      <c r="I60" s="4">
        <f>[1]TruckNumbers!F63</f>
        <v>0</v>
      </c>
      <c r="J60" s="4">
        <f>[1]TruckNumbers!J63</f>
        <v>0</v>
      </c>
      <c r="K60" s="4">
        <f>[1]TruckNumbers!K63</f>
        <v>0</v>
      </c>
      <c r="L60" s="31">
        <f>[1]TruckNumbers!L63</f>
        <v>0</v>
      </c>
      <c r="M60">
        <f>[1]TruckNumbers!M63</f>
        <v>0</v>
      </c>
      <c r="N60">
        <f>[1]TruckNumbers!N63</f>
        <v>0</v>
      </c>
      <c r="O60" s="4">
        <f>[1]TruckNumbers!O63</f>
        <v>0</v>
      </c>
      <c r="P60" s="28">
        <f>[1]TruckNumbers!P63</f>
        <v>0</v>
      </c>
      <c r="Q60" s="4">
        <f>[1]TruckNumbers!Q63</f>
        <v>0</v>
      </c>
      <c r="R60" s="4">
        <f>[1]TruckNumbers!R63</f>
        <v>0</v>
      </c>
      <c r="S60" s="4">
        <f>[1]TruckNumbers!S63</f>
        <v>0</v>
      </c>
      <c r="T60" s="4">
        <f>[1]TruckNumbers!T63</f>
        <v>0</v>
      </c>
      <c r="U60">
        <f>[1]TruckNumbers!U63</f>
        <v>0</v>
      </c>
      <c r="V60">
        <f>[1]TruckNumbers!V63</f>
        <v>0</v>
      </c>
      <c r="W60">
        <f>[1]TruckNumbers!W63</f>
        <v>0</v>
      </c>
      <c r="X60">
        <f>[1]TruckNumbers!X63</f>
        <v>0</v>
      </c>
    </row>
    <row r="61" spans="1:24" x14ac:dyDescent="0.2">
      <c r="A61">
        <f>[1]TruckNumbers!A64</f>
        <v>0</v>
      </c>
      <c r="B61">
        <f>[1]TruckNumbers!B64</f>
        <v>0</v>
      </c>
      <c r="C61" s="29">
        <f>[1]TruckNumbers!C64</f>
        <v>0</v>
      </c>
      <c r="D61" s="4">
        <f>[1]TruckNumbers!E64</f>
        <v>0</v>
      </c>
      <c r="E61" s="30">
        <f>[1]TruckNumbers!D64</f>
        <v>0</v>
      </c>
      <c r="F61" s="4">
        <f>[1]TruckNumbers!G64</f>
        <v>0</v>
      </c>
      <c r="G61">
        <f>[1]TruckNumbers!H64</f>
        <v>0</v>
      </c>
      <c r="H61" s="4">
        <f>[1]TruckNumbers!I64</f>
        <v>0</v>
      </c>
      <c r="I61" s="4">
        <f>[1]TruckNumbers!F64</f>
        <v>0</v>
      </c>
      <c r="J61" s="4">
        <f>[1]TruckNumbers!J64</f>
        <v>0</v>
      </c>
      <c r="K61" s="4">
        <f>[1]TruckNumbers!K64</f>
        <v>0</v>
      </c>
      <c r="L61" s="31">
        <f>[1]TruckNumbers!L64</f>
        <v>0</v>
      </c>
      <c r="M61">
        <f>[1]TruckNumbers!M64</f>
        <v>0</v>
      </c>
      <c r="N61">
        <f>[1]TruckNumbers!N64</f>
        <v>0</v>
      </c>
      <c r="O61" s="4">
        <f>[1]TruckNumbers!O64</f>
        <v>0</v>
      </c>
      <c r="P61" s="28">
        <f>[1]TruckNumbers!P64</f>
        <v>0</v>
      </c>
      <c r="Q61" s="4">
        <f>[1]TruckNumbers!Q64</f>
        <v>0</v>
      </c>
      <c r="R61" s="4">
        <f>[1]TruckNumbers!R64</f>
        <v>0</v>
      </c>
      <c r="S61" s="4">
        <f>[1]TruckNumbers!S64</f>
        <v>0</v>
      </c>
      <c r="T61" s="4">
        <f>[1]TruckNumbers!T64</f>
        <v>0</v>
      </c>
      <c r="U61">
        <f>[1]TruckNumbers!U64</f>
        <v>0</v>
      </c>
      <c r="V61">
        <f>[1]TruckNumbers!V64</f>
        <v>0</v>
      </c>
      <c r="W61">
        <f>[1]TruckNumbers!W64</f>
        <v>0</v>
      </c>
      <c r="X61">
        <f>[1]TruckNumbers!X64</f>
        <v>0</v>
      </c>
    </row>
    <row r="62" spans="1:24" x14ac:dyDescent="0.2">
      <c r="A62">
        <f>[1]TruckNumbers!A65</f>
        <v>0</v>
      </c>
      <c r="B62">
        <f>[1]TruckNumbers!B65</f>
        <v>0</v>
      </c>
      <c r="C62" s="29">
        <f>[1]TruckNumbers!C65</f>
        <v>0</v>
      </c>
      <c r="D62" s="4">
        <f>[1]TruckNumbers!E65</f>
        <v>0</v>
      </c>
      <c r="E62" s="30">
        <f>[1]TruckNumbers!D65</f>
        <v>0</v>
      </c>
      <c r="F62" s="4">
        <f>[1]TruckNumbers!G65</f>
        <v>0</v>
      </c>
      <c r="G62">
        <f>[1]TruckNumbers!H65</f>
        <v>0</v>
      </c>
      <c r="H62" s="4">
        <f>[1]TruckNumbers!I65</f>
        <v>0</v>
      </c>
      <c r="I62" s="4">
        <f>[1]TruckNumbers!F65</f>
        <v>0</v>
      </c>
      <c r="J62" s="4">
        <f>[1]TruckNumbers!J65</f>
        <v>0</v>
      </c>
      <c r="K62" s="4">
        <f>[1]TruckNumbers!K65</f>
        <v>0</v>
      </c>
      <c r="L62" s="31">
        <f>[1]TruckNumbers!L65</f>
        <v>0</v>
      </c>
      <c r="M62">
        <f>[1]TruckNumbers!M65</f>
        <v>0</v>
      </c>
      <c r="N62">
        <f>[1]TruckNumbers!N65</f>
        <v>0</v>
      </c>
      <c r="O62" s="4">
        <f>[1]TruckNumbers!O65</f>
        <v>0</v>
      </c>
      <c r="P62" s="28">
        <f>[1]TruckNumbers!P65</f>
        <v>0</v>
      </c>
      <c r="Q62" s="4">
        <f>[1]TruckNumbers!Q65</f>
        <v>0</v>
      </c>
      <c r="R62" s="4">
        <f>[1]TruckNumbers!R65</f>
        <v>0</v>
      </c>
      <c r="S62" s="4">
        <f>[1]TruckNumbers!S65</f>
        <v>0</v>
      </c>
      <c r="T62" s="4">
        <f>[1]TruckNumbers!T65</f>
        <v>0</v>
      </c>
      <c r="U62">
        <f>[1]TruckNumbers!U65</f>
        <v>0</v>
      </c>
      <c r="V62">
        <f>[1]TruckNumbers!V65</f>
        <v>0</v>
      </c>
      <c r="W62">
        <f>[1]TruckNumbers!W65</f>
        <v>0</v>
      </c>
      <c r="X62">
        <f>[1]TruckNumbers!X65</f>
        <v>0</v>
      </c>
    </row>
    <row r="63" spans="1:24" x14ac:dyDescent="0.2">
      <c r="A63">
        <f>[1]TruckNumbers!A66</f>
        <v>0</v>
      </c>
      <c r="B63">
        <f>[1]TruckNumbers!B66</f>
        <v>0</v>
      </c>
      <c r="C63" s="29">
        <f>[1]TruckNumbers!C66</f>
        <v>0</v>
      </c>
      <c r="D63" s="4">
        <f>[1]TruckNumbers!E66</f>
        <v>0</v>
      </c>
      <c r="E63" s="30">
        <f>[1]TruckNumbers!D66</f>
        <v>0</v>
      </c>
      <c r="F63" s="4">
        <f>[1]TruckNumbers!G66</f>
        <v>0</v>
      </c>
      <c r="G63">
        <f>[1]TruckNumbers!H66</f>
        <v>0</v>
      </c>
      <c r="H63" s="4">
        <f>[1]TruckNumbers!I66</f>
        <v>0</v>
      </c>
      <c r="I63" s="4">
        <f>[1]TruckNumbers!F66</f>
        <v>0</v>
      </c>
      <c r="J63" s="4">
        <f>[1]TruckNumbers!J66</f>
        <v>0</v>
      </c>
      <c r="K63" s="4">
        <f>[1]TruckNumbers!K66</f>
        <v>0</v>
      </c>
      <c r="L63" s="31">
        <f>[1]TruckNumbers!L66</f>
        <v>0</v>
      </c>
      <c r="M63">
        <f>[1]TruckNumbers!M66</f>
        <v>0</v>
      </c>
      <c r="N63">
        <f>[1]TruckNumbers!N66</f>
        <v>0</v>
      </c>
      <c r="O63" s="4">
        <f>[1]TruckNumbers!O66</f>
        <v>0</v>
      </c>
      <c r="P63" s="28">
        <f>[1]TruckNumbers!P66</f>
        <v>0</v>
      </c>
      <c r="Q63" s="4">
        <f>[1]TruckNumbers!Q66</f>
        <v>0</v>
      </c>
      <c r="R63" s="4">
        <f>[1]TruckNumbers!R66</f>
        <v>0</v>
      </c>
      <c r="S63" s="4">
        <f>[1]TruckNumbers!S66</f>
        <v>0</v>
      </c>
      <c r="T63" s="4">
        <f>[1]TruckNumbers!T66</f>
        <v>0</v>
      </c>
      <c r="U63">
        <f>[1]TruckNumbers!U66</f>
        <v>0</v>
      </c>
      <c r="V63">
        <f>[1]TruckNumbers!V66</f>
        <v>0</v>
      </c>
      <c r="W63">
        <f>[1]TruckNumbers!W66</f>
        <v>0</v>
      </c>
      <c r="X63">
        <f>[1]TruckNumbers!X66</f>
        <v>0</v>
      </c>
    </row>
    <row r="64" spans="1:24" x14ac:dyDescent="0.2">
      <c r="A64">
        <f>[1]TruckNumbers!A67</f>
        <v>0</v>
      </c>
      <c r="B64">
        <f>[1]TruckNumbers!B67</f>
        <v>0</v>
      </c>
      <c r="C64" s="29">
        <f>[1]TruckNumbers!C67</f>
        <v>0</v>
      </c>
      <c r="D64" s="4">
        <f>[1]TruckNumbers!E67</f>
        <v>0</v>
      </c>
      <c r="E64" s="30">
        <f>[1]TruckNumbers!D67</f>
        <v>0</v>
      </c>
      <c r="F64" s="4">
        <f>[1]TruckNumbers!G67</f>
        <v>0</v>
      </c>
      <c r="G64">
        <f>[1]TruckNumbers!H67</f>
        <v>0</v>
      </c>
      <c r="H64" s="4">
        <f>[1]TruckNumbers!I67</f>
        <v>0</v>
      </c>
      <c r="I64" s="4">
        <f>[1]TruckNumbers!F67</f>
        <v>0</v>
      </c>
      <c r="J64" s="4">
        <f>[1]TruckNumbers!J67</f>
        <v>0</v>
      </c>
      <c r="K64" s="4">
        <f>[1]TruckNumbers!K67</f>
        <v>0</v>
      </c>
      <c r="L64" s="31">
        <f>[1]TruckNumbers!L67</f>
        <v>0</v>
      </c>
      <c r="M64">
        <f>[1]TruckNumbers!M67</f>
        <v>0</v>
      </c>
      <c r="N64">
        <f>[1]TruckNumbers!N67</f>
        <v>0</v>
      </c>
      <c r="O64" s="4">
        <f>[1]TruckNumbers!O67</f>
        <v>0</v>
      </c>
      <c r="P64" s="28">
        <f>[1]TruckNumbers!P67</f>
        <v>0</v>
      </c>
      <c r="Q64" s="4">
        <f>[1]TruckNumbers!Q67</f>
        <v>0</v>
      </c>
      <c r="R64" s="4">
        <f>[1]TruckNumbers!R67</f>
        <v>0</v>
      </c>
      <c r="S64" s="4">
        <f>[1]TruckNumbers!S67</f>
        <v>0</v>
      </c>
      <c r="T64" s="4">
        <f>[1]TruckNumbers!T67</f>
        <v>0</v>
      </c>
      <c r="U64">
        <f>[1]TruckNumbers!U67</f>
        <v>0</v>
      </c>
      <c r="V64">
        <f>[1]TruckNumbers!V67</f>
        <v>0</v>
      </c>
      <c r="W64">
        <f>[1]TruckNumbers!W67</f>
        <v>0</v>
      </c>
      <c r="X64">
        <f>[1]TruckNumbers!X67</f>
        <v>0</v>
      </c>
    </row>
    <row r="65" spans="1:24" x14ac:dyDescent="0.2">
      <c r="A65">
        <f>[1]TruckNumbers!A68</f>
        <v>0</v>
      </c>
      <c r="B65">
        <f>[1]TruckNumbers!B68</f>
        <v>0</v>
      </c>
      <c r="C65" s="29">
        <f>[1]TruckNumbers!C68</f>
        <v>0</v>
      </c>
      <c r="D65" s="4">
        <f>[1]TruckNumbers!E68</f>
        <v>0</v>
      </c>
      <c r="E65" s="30">
        <f>[1]TruckNumbers!D68</f>
        <v>0</v>
      </c>
      <c r="F65" s="4">
        <f>[1]TruckNumbers!G68</f>
        <v>0</v>
      </c>
      <c r="G65">
        <f>[1]TruckNumbers!H68</f>
        <v>0</v>
      </c>
      <c r="H65" s="4">
        <f>[1]TruckNumbers!I68</f>
        <v>0</v>
      </c>
      <c r="I65" s="4">
        <f>[1]TruckNumbers!F68</f>
        <v>0</v>
      </c>
      <c r="J65" s="4">
        <f>[1]TruckNumbers!J68</f>
        <v>0</v>
      </c>
      <c r="K65" s="4">
        <f>[1]TruckNumbers!K68</f>
        <v>0</v>
      </c>
      <c r="L65" s="31">
        <f>[1]TruckNumbers!L68</f>
        <v>0</v>
      </c>
      <c r="M65">
        <f>[1]TruckNumbers!M68</f>
        <v>0</v>
      </c>
      <c r="N65">
        <f>[1]TruckNumbers!N68</f>
        <v>0</v>
      </c>
      <c r="O65" s="4">
        <f>[1]TruckNumbers!O68</f>
        <v>0</v>
      </c>
      <c r="P65" s="28">
        <f>[1]TruckNumbers!P68</f>
        <v>0</v>
      </c>
      <c r="Q65" s="4">
        <f>[1]TruckNumbers!Q68</f>
        <v>0</v>
      </c>
      <c r="R65" s="4">
        <f>[1]TruckNumbers!R68</f>
        <v>0</v>
      </c>
      <c r="S65" s="4">
        <f>[1]TruckNumbers!S68</f>
        <v>0</v>
      </c>
      <c r="T65" s="4">
        <f>[1]TruckNumbers!T68</f>
        <v>0</v>
      </c>
      <c r="U65">
        <f>[1]TruckNumbers!U68</f>
        <v>0</v>
      </c>
      <c r="V65">
        <f>[1]TruckNumbers!V68</f>
        <v>0</v>
      </c>
      <c r="W65">
        <f>[1]TruckNumbers!W68</f>
        <v>0</v>
      </c>
      <c r="X65">
        <f>[1]TruckNumbers!X68</f>
        <v>0</v>
      </c>
    </row>
    <row r="66" spans="1:24" x14ac:dyDescent="0.2">
      <c r="A66">
        <f>[1]TruckNumbers!A69</f>
        <v>0</v>
      </c>
      <c r="B66">
        <f>[1]TruckNumbers!B69</f>
        <v>0</v>
      </c>
      <c r="C66" s="29">
        <f>[1]TruckNumbers!C69</f>
        <v>0</v>
      </c>
      <c r="D66" s="4">
        <f>[1]TruckNumbers!E69</f>
        <v>0</v>
      </c>
      <c r="E66" s="30">
        <f>[1]TruckNumbers!D69</f>
        <v>0</v>
      </c>
      <c r="F66" s="4">
        <f>[1]TruckNumbers!G69</f>
        <v>0</v>
      </c>
      <c r="G66">
        <f>[1]TruckNumbers!H69</f>
        <v>0</v>
      </c>
      <c r="H66" s="4">
        <f>[1]TruckNumbers!I69</f>
        <v>0</v>
      </c>
      <c r="I66" s="4">
        <f>[1]TruckNumbers!F69</f>
        <v>0</v>
      </c>
      <c r="J66" s="4">
        <f>[1]TruckNumbers!J69</f>
        <v>0</v>
      </c>
      <c r="K66" s="4">
        <f>[1]TruckNumbers!K69</f>
        <v>0</v>
      </c>
      <c r="L66" s="31">
        <f>[1]TruckNumbers!L69</f>
        <v>0</v>
      </c>
      <c r="M66">
        <f>[1]TruckNumbers!M69</f>
        <v>0</v>
      </c>
      <c r="N66">
        <f>[1]TruckNumbers!N69</f>
        <v>0</v>
      </c>
      <c r="O66" s="4">
        <f>[1]TruckNumbers!O69</f>
        <v>0</v>
      </c>
      <c r="P66" s="28">
        <f>[1]TruckNumbers!P69</f>
        <v>0</v>
      </c>
      <c r="Q66" s="4">
        <f>[1]TruckNumbers!Q69</f>
        <v>0</v>
      </c>
      <c r="R66" s="4">
        <f>[1]TruckNumbers!R69</f>
        <v>0</v>
      </c>
      <c r="S66" s="4">
        <f>[1]TruckNumbers!S69</f>
        <v>0</v>
      </c>
      <c r="T66" s="4">
        <f>[1]TruckNumbers!T69</f>
        <v>0</v>
      </c>
      <c r="U66">
        <f>[1]TruckNumbers!U69</f>
        <v>0</v>
      </c>
      <c r="V66">
        <f>[1]TruckNumbers!V69</f>
        <v>0</v>
      </c>
      <c r="W66">
        <f>[1]TruckNumbers!W69</f>
        <v>0</v>
      </c>
      <c r="X66">
        <f>[1]TruckNumbers!X69</f>
        <v>0</v>
      </c>
    </row>
    <row r="67" spans="1:24" x14ac:dyDescent="0.2">
      <c r="A67">
        <f>[1]TruckNumbers!A70</f>
        <v>0</v>
      </c>
      <c r="B67">
        <f>[1]TruckNumbers!B70</f>
        <v>0</v>
      </c>
      <c r="C67" s="29">
        <f>[1]TruckNumbers!C70</f>
        <v>0</v>
      </c>
      <c r="D67" s="4">
        <f>[1]TruckNumbers!E70</f>
        <v>0</v>
      </c>
      <c r="E67" s="30">
        <f>[1]TruckNumbers!D70</f>
        <v>0</v>
      </c>
      <c r="F67" s="4">
        <f>[1]TruckNumbers!G70</f>
        <v>0</v>
      </c>
      <c r="G67">
        <f>[1]TruckNumbers!H70</f>
        <v>0</v>
      </c>
      <c r="H67" s="4">
        <f>[1]TruckNumbers!I70</f>
        <v>0</v>
      </c>
      <c r="I67" s="4">
        <f>[1]TruckNumbers!F70</f>
        <v>0</v>
      </c>
      <c r="J67" s="4">
        <f>[1]TruckNumbers!J70</f>
        <v>0</v>
      </c>
      <c r="K67" s="4">
        <f>[1]TruckNumbers!K70</f>
        <v>0</v>
      </c>
      <c r="L67" s="31">
        <f>[1]TruckNumbers!L70</f>
        <v>0</v>
      </c>
      <c r="M67">
        <f>[1]TruckNumbers!M70</f>
        <v>0</v>
      </c>
      <c r="N67">
        <f>[1]TruckNumbers!N70</f>
        <v>0</v>
      </c>
      <c r="O67" s="4">
        <f>[1]TruckNumbers!O70</f>
        <v>0</v>
      </c>
      <c r="P67" s="28">
        <f>[1]TruckNumbers!P70</f>
        <v>0</v>
      </c>
      <c r="Q67" s="4">
        <f>[1]TruckNumbers!Q70</f>
        <v>0</v>
      </c>
      <c r="R67" s="4">
        <f>[1]TruckNumbers!R70</f>
        <v>0</v>
      </c>
      <c r="S67" s="4">
        <f>[1]TruckNumbers!S70</f>
        <v>0</v>
      </c>
      <c r="T67" s="4">
        <f>[1]TruckNumbers!T70</f>
        <v>0</v>
      </c>
      <c r="U67">
        <f>[1]TruckNumbers!U70</f>
        <v>0</v>
      </c>
      <c r="V67">
        <f>[1]TruckNumbers!V70</f>
        <v>0</v>
      </c>
      <c r="W67">
        <f>[1]TruckNumbers!W70</f>
        <v>0</v>
      </c>
      <c r="X67">
        <f>[1]TruckNumbers!X70</f>
        <v>0</v>
      </c>
    </row>
    <row r="68" spans="1:24" x14ac:dyDescent="0.2">
      <c r="A68">
        <f>[1]TruckNumbers!A71</f>
        <v>0</v>
      </c>
      <c r="B68">
        <f>[1]TruckNumbers!B71</f>
        <v>0</v>
      </c>
      <c r="C68" s="29">
        <f>[1]TruckNumbers!C71</f>
        <v>0</v>
      </c>
      <c r="D68" s="4">
        <f>[1]TruckNumbers!E71</f>
        <v>0</v>
      </c>
      <c r="E68" s="30">
        <f>[1]TruckNumbers!D71</f>
        <v>0</v>
      </c>
      <c r="F68" s="4">
        <f>[1]TruckNumbers!G71</f>
        <v>0</v>
      </c>
      <c r="G68">
        <f>[1]TruckNumbers!H71</f>
        <v>0</v>
      </c>
      <c r="H68" s="4">
        <f>[1]TruckNumbers!I71</f>
        <v>0</v>
      </c>
      <c r="I68" s="4">
        <f>[1]TruckNumbers!F71</f>
        <v>0</v>
      </c>
      <c r="J68" s="4">
        <f>[1]TruckNumbers!J71</f>
        <v>0</v>
      </c>
      <c r="K68" s="4">
        <f>[1]TruckNumbers!K71</f>
        <v>0</v>
      </c>
      <c r="L68" s="31">
        <f>[1]TruckNumbers!L71</f>
        <v>0</v>
      </c>
      <c r="M68">
        <f>[1]TruckNumbers!M71</f>
        <v>0</v>
      </c>
      <c r="N68">
        <f>[1]TruckNumbers!N71</f>
        <v>0</v>
      </c>
      <c r="O68" s="4">
        <f>[1]TruckNumbers!O71</f>
        <v>0</v>
      </c>
      <c r="P68" s="28">
        <f>[1]TruckNumbers!P71</f>
        <v>0</v>
      </c>
      <c r="Q68" s="4">
        <f>[1]TruckNumbers!Q71</f>
        <v>0</v>
      </c>
      <c r="R68" s="4">
        <f>[1]TruckNumbers!R71</f>
        <v>0</v>
      </c>
      <c r="S68" s="4">
        <f>[1]TruckNumbers!S71</f>
        <v>0</v>
      </c>
      <c r="T68" s="4">
        <f>[1]TruckNumbers!T71</f>
        <v>0</v>
      </c>
      <c r="U68">
        <f>[1]TruckNumbers!U71</f>
        <v>0</v>
      </c>
      <c r="V68">
        <f>[1]TruckNumbers!V71</f>
        <v>0</v>
      </c>
      <c r="W68">
        <f>[1]TruckNumbers!W71</f>
        <v>0</v>
      </c>
      <c r="X68">
        <f>[1]TruckNumbers!X71</f>
        <v>0</v>
      </c>
    </row>
    <row r="69" spans="1:24" x14ac:dyDescent="0.2">
      <c r="A69">
        <f>[1]TruckNumbers!A72</f>
        <v>0</v>
      </c>
      <c r="B69">
        <f>[1]TruckNumbers!B72</f>
        <v>0</v>
      </c>
      <c r="C69" s="29">
        <f>[1]TruckNumbers!C72</f>
        <v>0</v>
      </c>
      <c r="D69" s="4">
        <f>[1]TruckNumbers!E72</f>
        <v>0</v>
      </c>
      <c r="E69" s="30">
        <f>[1]TruckNumbers!D72</f>
        <v>0</v>
      </c>
      <c r="F69" s="4">
        <f>[1]TruckNumbers!G72</f>
        <v>0</v>
      </c>
      <c r="G69">
        <f>[1]TruckNumbers!H72</f>
        <v>0</v>
      </c>
      <c r="H69" s="4">
        <f>[1]TruckNumbers!I72</f>
        <v>0</v>
      </c>
      <c r="I69" s="4">
        <f>[1]TruckNumbers!F72</f>
        <v>0</v>
      </c>
      <c r="J69" s="4">
        <f>[1]TruckNumbers!J72</f>
        <v>0</v>
      </c>
      <c r="K69" s="4">
        <f>[1]TruckNumbers!K72</f>
        <v>0</v>
      </c>
      <c r="L69" s="31">
        <f>[1]TruckNumbers!L72</f>
        <v>0</v>
      </c>
      <c r="M69">
        <f>[1]TruckNumbers!M72</f>
        <v>0</v>
      </c>
      <c r="N69">
        <f>[1]TruckNumbers!N72</f>
        <v>0</v>
      </c>
      <c r="O69" s="4">
        <f>[1]TruckNumbers!O72</f>
        <v>0</v>
      </c>
      <c r="P69" s="28">
        <f>[1]TruckNumbers!P72</f>
        <v>0</v>
      </c>
      <c r="Q69" s="4">
        <f>[1]TruckNumbers!Q72</f>
        <v>0</v>
      </c>
      <c r="R69" s="4">
        <f>[1]TruckNumbers!R72</f>
        <v>0</v>
      </c>
      <c r="S69" s="4">
        <f>[1]TruckNumbers!S72</f>
        <v>0</v>
      </c>
      <c r="T69" s="4">
        <f>[1]TruckNumbers!T72</f>
        <v>0</v>
      </c>
      <c r="U69">
        <f>[1]TruckNumbers!U72</f>
        <v>0</v>
      </c>
      <c r="V69">
        <f>[1]TruckNumbers!V72</f>
        <v>0</v>
      </c>
      <c r="W69">
        <f>[1]TruckNumbers!W72</f>
        <v>0</v>
      </c>
      <c r="X69">
        <f>[1]TruckNumbers!X72</f>
        <v>0</v>
      </c>
    </row>
    <row r="70" spans="1:24" x14ac:dyDescent="0.2">
      <c r="A70">
        <f>[1]TruckNumbers!A73</f>
        <v>0</v>
      </c>
      <c r="B70">
        <f>[1]TruckNumbers!B73</f>
        <v>0</v>
      </c>
      <c r="C70" s="29">
        <f>[1]TruckNumbers!C73</f>
        <v>0</v>
      </c>
      <c r="D70" s="4">
        <f>[1]TruckNumbers!E73</f>
        <v>0</v>
      </c>
      <c r="E70" s="30">
        <f>[1]TruckNumbers!D73</f>
        <v>0</v>
      </c>
      <c r="F70" s="4">
        <f>[1]TruckNumbers!G73</f>
        <v>0</v>
      </c>
      <c r="G70">
        <f>[1]TruckNumbers!H73</f>
        <v>0</v>
      </c>
      <c r="H70" s="4">
        <f>[1]TruckNumbers!I73</f>
        <v>0</v>
      </c>
      <c r="I70" s="4">
        <f>[1]TruckNumbers!F73</f>
        <v>0</v>
      </c>
      <c r="J70" s="4">
        <f>[1]TruckNumbers!J73</f>
        <v>0</v>
      </c>
      <c r="K70" s="4">
        <f>[1]TruckNumbers!K73</f>
        <v>0</v>
      </c>
      <c r="L70" s="31">
        <f>[1]TruckNumbers!L73</f>
        <v>0</v>
      </c>
      <c r="M70">
        <f>[1]TruckNumbers!M73</f>
        <v>0</v>
      </c>
      <c r="N70">
        <f>[1]TruckNumbers!N73</f>
        <v>0</v>
      </c>
      <c r="O70" s="4">
        <f>[1]TruckNumbers!O73</f>
        <v>0</v>
      </c>
      <c r="P70" s="28">
        <f>[1]TruckNumbers!P73</f>
        <v>0</v>
      </c>
      <c r="Q70" s="4">
        <f>[1]TruckNumbers!Q73</f>
        <v>0</v>
      </c>
      <c r="R70" s="4">
        <f>[1]TruckNumbers!R73</f>
        <v>0</v>
      </c>
      <c r="S70" s="4">
        <f>[1]TruckNumbers!S73</f>
        <v>0</v>
      </c>
      <c r="T70" s="4">
        <f>[1]TruckNumbers!T73</f>
        <v>0</v>
      </c>
      <c r="U70">
        <f>[1]TruckNumbers!U73</f>
        <v>0</v>
      </c>
      <c r="V70">
        <f>[1]TruckNumbers!V73</f>
        <v>0</v>
      </c>
      <c r="W70">
        <f>[1]TruckNumbers!W73</f>
        <v>0</v>
      </c>
      <c r="X70">
        <f>[1]TruckNumbers!X73</f>
        <v>0</v>
      </c>
    </row>
    <row r="71" spans="1:24" x14ac:dyDescent="0.2">
      <c r="A71">
        <f>[1]TruckNumbers!A74</f>
        <v>0</v>
      </c>
      <c r="B71">
        <f>[1]TruckNumbers!B74</f>
        <v>0</v>
      </c>
      <c r="C71" s="29">
        <f>[1]TruckNumbers!C74</f>
        <v>0</v>
      </c>
      <c r="D71" s="4">
        <f>[1]TruckNumbers!E74</f>
        <v>0</v>
      </c>
      <c r="E71" s="30">
        <f>[1]TruckNumbers!D74</f>
        <v>0</v>
      </c>
      <c r="F71" s="4">
        <f>[1]TruckNumbers!G74</f>
        <v>0</v>
      </c>
      <c r="G71">
        <f>[1]TruckNumbers!H74</f>
        <v>0</v>
      </c>
      <c r="H71" s="4">
        <f>[1]TruckNumbers!I74</f>
        <v>0</v>
      </c>
      <c r="I71" s="4">
        <f>[1]TruckNumbers!F74</f>
        <v>0</v>
      </c>
      <c r="J71" s="4">
        <f>[1]TruckNumbers!J74</f>
        <v>0</v>
      </c>
      <c r="K71" s="4">
        <f>[1]TruckNumbers!K74</f>
        <v>0</v>
      </c>
      <c r="L71" s="31">
        <f>[1]TruckNumbers!L74</f>
        <v>0</v>
      </c>
      <c r="M71">
        <f>[1]TruckNumbers!M74</f>
        <v>0</v>
      </c>
      <c r="N71">
        <f>[1]TruckNumbers!N74</f>
        <v>0</v>
      </c>
      <c r="O71" s="4">
        <f>[1]TruckNumbers!O74</f>
        <v>0</v>
      </c>
      <c r="P71" s="28">
        <f>[1]TruckNumbers!P74</f>
        <v>0</v>
      </c>
      <c r="Q71" s="4">
        <f>[1]TruckNumbers!Q74</f>
        <v>0</v>
      </c>
      <c r="R71" s="4">
        <f>[1]TruckNumbers!R74</f>
        <v>0</v>
      </c>
      <c r="S71" s="4">
        <f>[1]TruckNumbers!S74</f>
        <v>0</v>
      </c>
      <c r="T71" s="4">
        <f>[1]TruckNumbers!T74</f>
        <v>0</v>
      </c>
      <c r="U71">
        <f>[1]TruckNumbers!U74</f>
        <v>0</v>
      </c>
      <c r="V71">
        <f>[1]TruckNumbers!V74</f>
        <v>0</v>
      </c>
      <c r="W71">
        <f>[1]TruckNumbers!W74</f>
        <v>0</v>
      </c>
      <c r="X71">
        <f>[1]TruckNumbers!X74</f>
        <v>0</v>
      </c>
    </row>
    <row r="72" spans="1:24" x14ac:dyDescent="0.2">
      <c r="A72">
        <f>[1]TruckNumbers!A75</f>
        <v>0</v>
      </c>
      <c r="B72">
        <f>[1]TruckNumbers!B75</f>
        <v>0</v>
      </c>
      <c r="C72" s="29">
        <f>[1]TruckNumbers!C75</f>
        <v>0</v>
      </c>
      <c r="D72" s="4">
        <f>[1]TruckNumbers!E75</f>
        <v>0</v>
      </c>
      <c r="E72" s="30">
        <f>[1]TruckNumbers!D75</f>
        <v>0</v>
      </c>
      <c r="F72" s="4">
        <f>[1]TruckNumbers!G75</f>
        <v>0</v>
      </c>
      <c r="G72">
        <f>[1]TruckNumbers!H75</f>
        <v>0</v>
      </c>
      <c r="H72" s="4">
        <f>[1]TruckNumbers!I75</f>
        <v>0</v>
      </c>
      <c r="I72" s="4">
        <f>[1]TruckNumbers!F75</f>
        <v>0</v>
      </c>
      <c r="J72" s="4">
        <f>[1]TruckNumbers!J75</f>
        <v>0</v>
      </c>
      <c r="K72" s="4">
        <f>[1]TruckNumbers!K75</f>
        <v>0</v>
      </c>
      <c r="L72" s="31">
        <f>[1]TruckNumbers!L75</f>
        <v>0</v>
      </c>
      <c r="M72">
        <f>[1]TruckNumbers!M75</f>
        <v>0</v>
      </c>
      <c r="N72">
        <f>[1]TruckNumbers!N75</f>
        <v>0</v>
      </c>
      <c r="O72" s="4">
        <f>[1]TruckNumbers!O75</f>
        <v>0</v>
      </c>
      <c r="P72" s="28">
        <f>[1]TruckNumbers!P75</f>
        <v>0</v>
      </c>
      <c r="Q72" s="4">
        <f>[1]TruckNumbers!Q75</f>
        <v>0</v>
      </c>
      <c r="R72" s="4">
        <f>[1]TruckNumbers!R75</f>
        <v>0</v>
      </c>
      <c r="S72" s="4">
        <f>[1]TruckNumbers!S75</f>
        <v>0</v>
      </c>
      <c r="T72" s="4">
        <f>[1]TruckNumbers!T75</f>
        <v>0</v>
      </c>
      <c r="U72">
        <f>[1]TruckNumbers!U75</f>
        <v>0</v>
      </c>
      <c r="V72">
        <f>[1]TruckNumbers!V75</f>
        <v>0</v>
      </c>
      <c r="W72">
        <f>[1]TruckNumbers!W75</f>
        <v>0</v>
      </c>
      <c r="X72">
        <f>[1]TruckNumbers!X75</f>
        <v>0</v>
      </c>
    </row>
    <row r="73" spans="1:24" x14ac:dyDescent="0.2">
      <c r="A73">
        <f>[1]TruckNumbers!A76</f>
        <v>0</v>
      </c>
      <c r="B73">
        <f>[1]TruckNumbers!B76</f>
        <v>0</v>
      </c>
      <c r="C73" s="29">
        <f>[1]TruckNumbers!C76</f>
        <v>0</v>
      </c>
      <c r="D73" s="4">
        <f>[1]TruckNumbers!E76</f>
        <v>0</v>
      </c>
      <c r="E73" s="30">
        <f>[1]TruckNumbers!D76</f>
        <v>0</v>
      </c>
      <c r="F73" s="4">
        <f>[1]TruckNumbers!G76</f>
        <v>0</v>
      </c>
      <c r="G73">
        <f>[1]TruckNumbers!H76</f>
        <v>0</v>
      </c>
      <c r="H73" s="4">
        <f>[1]TruckNumbers!I76</f>
        <v>0</v>
      </c>
      <c r="I73" s="4">
        <f>[1]TruckNumbers!F76</f>
        <v>0</v>
      </c>
      <c r="J73" s="4">
        <f>[1]TruckNumbers!J76</f>
        <v>0</v>
      </c>
      <c r="K73" s="4">
        <f>[1]TruckNumbers!K76</f>
        <v>0</v>
      </c>
      <c r="L73" s="31">
        <f>[1]TruckNumbers!L76</f>
        <v>0</v>
      </c>
      <c r="M73">
        <f>[1]TruckNumbers!M76</f>
        <v>0</v>
      </c>
      <c r="N73">
        <f>[1]TruckNumbers!N76</f>
        <v>0</v>
      </c>
      <c r="O73" s="4">
        <f>[1]TruckNumbers!O76</f>
        <v>0</v>
      </c>
      <c r="P73" s="28">
        <f>[1]TruckNumbers!P76</f>
        <v>0</v>
      </c>
      <c r="Q73" s="4">
        <f>[1]TruckNumbers!Q76</f>
        <v>0</v>
      </c>
      <c r="R73" s="4">
        <f>[1]TruckNumbers!R76</f>
        <v>0</v>
      </c>
      <c r="S73" s="4">
        <f>[1]TruckNumbers!S76</f>
        <v>0</v>
      </c>
      <c r="T73" s="4">
        <f>[1]TruckNumbers!T76</f>
        <v>0</v>
      </c>
      <c r="U73">
        <f>[1]TruckNumbers!U76</f>
        <v>0</v>
      </c>
      <c r="V73">
        <f>[1]TruckNumbers!V76</f>
        <v>0</v>
      </c>
      <c r="W73">
        <f>[1]TruckNumbers!W76</f>
        <v>0</v>
      </c>
      <c r="X73">
        <f>[1]TruckNumbers!X76</f>
        <v>0</v>
      </c>
    </row>
    <row r="74" spans="1:24" x14ac:dyDescent="0.2">
      <c r="A74">
        <f>[1]TruckNumbers!A77</f>
        <v>0</v>
      </c>
      <c r="B74">
        <f>[1]TruckNumbers!B77</f>
        <v>0</v>
      </c>
      <c r="C74" s="29">
        <f>[1]TruckNumbers!C77</f>
        <v>0</v>
      </c>
      <c r="D74" s="4">
        <f>[1]TruckNumbers!E77</f>
        <v>0</v>
      </c>
      <c r="E74" s="30">
        <f>[1]TruckNumbers!D77</f>
        <v>0</v>
      </c>
      <c r="F74" s="4">
        <f>[1]TruckNumbers!G77</f>
        <v>0</v>
      </c>
      <c r="G74">
        <f>[1]TruckNumbers!H77</f>
        <v>0</v>
      </c>
      <c r="H74" s="4">
        <f>[1]TruckNumbers!I77</f>
        <v>0</v>
      </c>
      <c r="I74" s="4">
        <f>[1]TruckNumbers!F77</f>
        <v>0</v>
      </c>
      <c r="J74" s="4">
        <f>[1]TruckNumbers!J77</f>
        <v>0</v>
      </c>
      <c r="K74" s="4">
        <f>[1]TruckNumbers!K77</f>
        <v>0</v>
      </c>
      <c r="L74" s="31">
        <f>[1]TruckNumbers!L77</f>
        <v>0</v>
      </c>
      <c r="M74">
        <f>[1]TruckNumbers!M77</f>
        <v>0</v>
      </c>
      <c r="N74">
        <f>[1]TruckNumbers!N77</f>
        <v>0</v>
      </c>
      <c r="O74" s="4">
        <f>[1]TruckNumbers!O77</f>
        <v>0</v>
      </c>
      <c r="P74" s="28">
        <f>[1]TruckNumbers!P77</f>
        <v>0</v>
      </c>
      <c r="Q74" s="4">
        <f>[1]TruckNumbers!Q77</f>
        <v>0</v>
      </c>
      <c r="R74" s="4">
        <f>[1]TruckNumbers!R77</f>
        <v>0</v>
      </c>
      <c r="S74" s="4">
        <f>[1]TruckNumbers!S77</f>
        <v>0</v>
      </c>
      <c r="T74" s="4">
        <f>[1]TruckNumbers!T77</f>
        <v>0</v>
      </c>
      <c r="U74">
        <f>[1]TruckNumbers!U77</f>
        <v>0</v>
      </c>
      <c r="V74">
        <f>[1]TruckNumbers!V77</f>
        <v>0</v>
      </c>
      <c r="W74">
        <f>[1]TruckNumbers!W77</f>
        <v>0</v>
      </c>
      <c r="X74">
        <f>[1]TruckNumbers!X77</f>
        <v>0</v>
      </c>
    </row>
    <row r="75" spans="1:24" x14ac:dyDescent="0.2">
      <c r="A75">
        <f>[1]TruckNumbers!A78</f>
        <v>0</v>
      </c>
      <c r="B75">
        <f>[1]TruckNumbers!B78</f>
        <v>0</v>
      </c>
      <c r="C75" s="29">
        <f>[1]TruckNumbers!C78</f>
        <v>0</v>
      </c>
      <c r="D75" s="4">
        <f>[1]TruckNumbers!E78</f>
        <v>0</v>
      </c>
      <c r="E75" s="30">
        <f>[1]TruckNumbers!D78</f>
        <v>0</v>
      </c>
      <c r="F75" s="4">
        <f>[1]TruckNumbers!G78</f>
        <v>0</v>
      </c>
      <c r="G75">
        <f>[1]TruckNumbers!H78</f>
        <v>0</v>
      </c>
      <c r="H75" s="4">
        <f>[1]TruckNumbers!I78</f>
        <v>0</v>
      </c>
      <c r="I75" s="4">
        <f>[1]TruckNumbers!F78</f>
        <v>0</v>
      </c>
      <c r="J75" s="4">
        <f>[1]TruckNumbers!J78</f>
        <v>0</v>
      </c>
      <c r="K75" s="4">
        <f>[1]TruckNumbers!K78</f>
        <v>0</v>
      </c>
      <c r="L75" s="31">
        <f>[1]TruckNumbers!L78</f>
        <v>0</v>
      </c>
      <c r="M75">
        <f>[1]TruckNumbers!M78</f>
        <v>0</v>
      </c>
      <c r="N75">
        <f>[1]TruckNumbers!N78</f>
        <v>0</v>
      </c>
      <c r="O75" s="4">
        <f>[1]TruckNumbers!O78</f>
        <v>0</v>
      </c>
      <c r="P75" s="28">
        <f>[1]TruckNumbers!P78</f>
        <v>0</v>
      </c>
      <c r="Q75" s="4">
        <f>[1]TruckNumbers!Q78</f>
        <v>0</v>
      </c>
      <c r="R75" s="4">
        <f>[1]TruckNumbers!R78</f>
        <v>0</v>
      </c>
      <c r="S75" s="4">
        <f>[1]TruckNumbers!S78</f>
        <v>0</v>
      </c>
      <c r="T75" s="4">
        <f>[1]TruckNumbers!T78</f>
        <v>0</v>
      </c>
      <c r="U75">
        <f>[1]TruckNumbers!U78</f>
        <v>0</v>
      </c>
      <c r="V75">
        <f>[1]TruckNumbers!V78</f>
        <v>0</v>
      </c>
      <c r="W75">
        <f>[1]TruckNumbers!W78</f>
        <v>0</v>
      </c>
      <c r="X75">
        <f>[1]TruckNumbers!X78</f>
        <v>0</v>
      </c>
    </row>
    <row r="76" spans="1:24" x14ac:dyDescent="0.2">
      <c r="A76">
        <f>[1]TruckNumbers!A79</f>
        <v>0</v>
      </c>
      <c r="B76">
        <f>[1]TruckNumbers!B79</f>
        <v>0</v>
      </c>
      <c r="C76" s="29">
        <f>[1]TruckNumbers!C79</f>
        <v>0</v>
      </c>
      <c r="D76" s="4">
        <f>[1]TruckNumbers!E79</f>
        <v>0</v>
      </c>
      <c r="E76" s="30">
        <f>[1]TruckNumbers!D79</f>
        <v>0</v>
      </c>
      <c r="F76" s="4">
        <f>[1]TruckNumbers!G79</f>
        <v>0</v>
      </c>
      <c r="G76">
        <f>[1]TruckNumbers!H79</f>
        <v>0</v>
      </c>
      <c r="H76" s="4">
        <f>[1]TruckNumbers!I79</f>
        <v>0</v>
      </c>
      <c r="I76" s="4">
        <f>[1]TruckNumbers!F79</f>
        <v>0</v>
      </c>
      <c r="J76" s="4">
        <f>[1]TruckNumbers!J79</f>
        <v>0</v>
      </c>
      <c r="K76" s="4">
        <f>[1]TruckNumbers!K79</f>
        <v>0</v>
      </c>
      <c r="L76" s="31">
        <f>[1]TruckNumbers!L79</f>
        <v>0</v>
      </c>
      <c r="M76">
        <f>[1]TruckNumbers!M79</f>
        <v>0</v>
      </c>
      <c r="N76">
        <f>[1]TruckNumbers!N79</f>
        <v>0</v>
      </c>
      <c r="O76" s="4">
        <f>[1]TruckNumbers!O79</f>
        <v>0</v>
      </c>
      <c r="P76" s="28">
        <f>[1]TruckNumbers!P79</f>
        <v>0</v>
      </c>
      <c r="Q76" s="4">
        <f>[1]TruckNumbers!Q79</f>
        <v>0</v>
      </c>
      <c r="R76" s="4">
        <f>[1]TruckNumbers!R79</f>
        <v>0</v>
      </c>
      <c r="S76" s="4">
        <f>[1]TruckNumbers!S79</f>
        <v>0</v>
      </c>
      <c r="T76" s="4">
        <f>[1]TruckNumbers!T79</f>
        <v>0</v>
      </c>
      <c r="U76">
        <f>[1]TruckNumbers!U79</f>
        <v>0</v>
      </c>
      <c r="V76">
        <f>[1]TruckNumbers!V79</f>
        <v>0</v>
      </c>
      <c r="W76">
        <f>[1]TruckNumbers!W79</f>
        <v>0</v>
      </c>
      <c r="X76">
        <f>[1]TruckNumbers!X79</f>
        <v>0</v>
      </c>
    </row>
    <row r="77" spans="1:24" x14ac:dyDescent="0.2">
      <c r="A77">
        <f>[1]TruckNumbers!A80</f>
        <v>0</v>
      </c>
      <c r="B77">
        <f>[1]TruckNumbers!B80</f>
        <v>0</v>
      </c>
      <c r="C77" s="29">
        <f>[1]TruckNumbers!C80</f>
        <v>0</v>
      </c>
      <c r="D77" s="4">
        <f>[1]TruckNumbers!E80</f>
        <v>0</v>
      </c>
      <c r="E77" s="30">
        <f>[1]TruckNumbers!D80</f>
        <v>0</v>
      </c>
      <c r="F77" s="4">
        <f>[1]TruckNumbers!G80</f>
        <v>0</v>
      </c>
      <c r="G77">
        <f>[1]TruckNumbers!H80</f>
        <v>0</v>
      </c>
      <c r="H77" s="4">
        <f>[1]TruckNumbers!I80</f>
        <v>0</v>
      </c>
      <c r="I77" s="4">
        <f>[1]TruckNumbers!F80</f>
        <v>0</v>
      </c>
      <c r="J77" s="4">
        <f>[1]TruckNumbers!J80</f>
        <v>0</v>
      </c>
      <c r="K77" s="4">
        <f>[1]TruckNumbers!K80</f>
        <v>0</v>
      </c>
      <c r="L77" s="31">
        <f>[1]TruckNumbers!L80</f>
        <v>0</v>
      </c>
      <c r="M77">
        <f>[1]TruckNumbers!M80</f>
        <v>0</v>
      </c>
      <c r="N77">
        <f>[1]TruckNumbers!N80</f>
        <v>0</v>
      </c>
      <c r="O77" s="4">
        <f>[1]TruckNumbers!O80</f>
        <v>0</v>
      </c>
      <c r="P77" s="28">
        <f>[1]TruckNumbers!P80</f>
        <v>0</v>
      </c>
      <c r="Q77" s="4">
        <f>[1]TruckNumbers!Q80</f>
        <v>0</v>
      </c>
      <c r="R77" s="4">
        <f>[1]TruckNumbers!R80</f>
        <v>0</v>
      </c>
      <c r="S77" s="4">
        <f>[1]TruckNumbers!S80</f>
        <v>0</v>
      </c>
      <c r="T77" s="4">
        <f>[1]TruckNumbers!T80</f>
        <v>0</v>
      </c>
      <c r="U77">
        <f>[1]TruckNumbers!U80</f>
        <v>0</v>
      </c>
      <c r="V77">
        <f>[1]TruckNumbers!V80</f>
        <v>0</v>
      </c>
      <c r="W77">
        <f>[1]TruckNumbers!W80</f>
        <v>0</v>
      </c>
      <c r="X77">
        <f>[1]TruckNumbers!X80</f>
        <v>0</v>
      </c>
    </row>
    <row r="78" spans="1:24" x14ac:dyDescent="0.2">
      <c r="A78">
        <f>[1]TruckNumbers!A81</f>
        <v>0</v>
      </c>
      <c r="B78">
        <f>[1]TruckNumbers!B81</f>
        <v>0</v>
      </c>
      <c r="C78" s="29">
        <f>[1]TruckNumbers!C81</f>
        <v>0</v>
      </c>
      <c r="D78" s="4">
        <f>[1]TruckNumbers!E81</f>
        <v>0</v>
      </c>
      <c r="E78" s="30">
        <f>[1]TruckNumbers!D81</f>
        <v>0</v>
      </c>
      <c r="F78" s="4">
        <f>[1]TruckNumbers!G81</f>
        <v>0</v>
      </c>
      <c r="G78">
        <f>[1]TruckNumbers!H81</f>
        <v>0</v>
      </c>
      <c r="H78" s="4">
        <f>[1]TruckNumbers!I81</f>
        <v>0</v>
      </c>
      <c r="I78" s="4">
        <f>[1]TruckNumbers!F81</f>
        <v>0</v>
      </c>
      <c r="J78" s="4">
        <f>[1]TruckNumbers!J81</f>
        <v>0</v>
      </c>
      <c r="K78" s="4">
        <f>[1]TruckNumbers!K81</f>
        <v>0</v>
      </c>
      <c r="L78" s="31">
        <f>[1]TruckNumbers!L81</f>
        <v>0</v>
      </c>
      <c r="M78">
        <f>[1]TruckNumbers!M81</f>
        <v>0</v>
      </c>
      <c r="N78">
        <f>[1]TruckNumbers!N81</f>
        <v>0</v>
      </c>
      <c r="O78" s="4">
        <f>[1]TruckNumbers!O81</f>
        <v>0</v>
      </c>
      <c r="P78" s="28">
        <f>[1]TruckNumbers!P81</f>
        <v>0</v>
      </c>
      <c r="Q78" s="4">
        <f>[1]TruckNumbers!Q81</f>
        <v>0</v>
      </c>
      <c r="R78" s="4">
        <f>[1]TruckNumbers!R81</f>
        <v>0</v>
      </c>
      <c r="S78" s="4">
        <f>[1]TruckNumbers!S81</f>
        <v>0</v>
      </c>
      <c r="T78" s="4">
        <f>[1]TruckNumbers!T81</f>
        <v>0</v>
      </c>
      <c r="U78">
        <f>[1]TruckNumbers!U81</f>
        <v>0</v>
      </c>
      <c r="V78">
        <f>[1]TruckNumbers!V81</f>
        <v>0</v>
      </c>
      <c r="W78">
        <f>[1]TruckNumbers!W81</f>
        <v>0</v>
      </c>
      <c r="X78">
        <f>[1]TruckNumbers!X81</f>
        <v>0</v>
      </c>
    </row>
    <row r="79" spans="1:24" x14ac:dyDescent="0.2">
      <c r="A79">
        <f>[1]TruckNumbers!A82</f>
        <v>0</v>
      </c>
      <c r="B79">
        <f>[1]TruckNumbers!B82</f>
        <v>0</v>
      </c>
      <c r="C79" s="29">
        <f>[1]TruckNumbers!C82</f>
        <v>0</v>
      </c>
      <c r="D79" s="4">
        <f>[1]TruckNumbers!E82</f>
        <v>0</v>
      </c>
      <c r="E79" s="30">
        <f>[1]TruckNumbers!D82</f>
        <v>0</v>
      </c>
      <c r="F79" s="4">
        <f>[1]TruckNumbers!G82</f>
        <v>0</v>
      </c>
      <c r="G79">
        <f>[1]TruckNumbers!H82</f>
        <v>0</v>
      </c>
      <c r="H79" s="4">
        <f>[1]TruckNumbers!I82</f>
        <v>0</v>
      </c>
      <c r="I79" s="4">
        <f>[1]TruckNumbers!F82</f>
        <v>0</v>
      </c>
      <c r="J79" s="4">
        <f>[1]TruckNumbers!J82</f>
        <v>0</v>
      </c>
      <c r="K79" s="4">
        <f>[1]TruckNumbers!K82</f>
        <v>0</v>
      </c>
      <c r="L79" s="31">
        <f>[1]TruckNumbers!L82</f>
        <v>0</v>
      </c>
      <c r="M79">
        <f>[1]TruckNumbers!M82</f>
        <v>0</v>
      </c>
      <c r="N79">
        <f>[1]TruckNumbers!N82</f>
        <v>0</v>
      </c>
      <c r="O79" s="4">
        <f>[1]TruckNumbers!O82</f>
        <v>0</v>
      </c>
      <c r="P79" s="28">
        <f>[1]TruckNumbers!P82</f>
        <v>0</v>
      </c>
      <c r="Q79" s="4">
        <f>[1]TruckNumbers!Q82</f>
        <v>0</v>
      </c>
      <c r="R79" s="4">
        <f>[1]TruckNumbers!R82</f>
        <v>0</v>
      </c>
      <c r="S79" s="4">
        <f>[1]TruckNumbers!S82</f>
        <v>0</v>
      </c>
      <c r="T79" s="4">
        <f>[1]TruckNumbers!T82</f>
        <v>0</v>
      </c>
      <c r="U79">
        <f>[1]TruckNumbers!U82</f>
        <v>0</v>
      </c>
      <c r="V79">
        <f>[1]TruckNumbers!V82</f>
        <v>0</v>
      </c>
      <c r="W79">
        <f>[1]TruckNumbers!W82</f>
        <v>0</v>
      </c>
      <c r="X79">
        <f>[1]TruckNumbers!X82</f>
        <v>0</v>
      </c>
    </row>
    <row r="80" spans="1:24" x14ac:dyDescent="0.2">
      <c r="A80">
        <f>[1]TruckNumbers!A83</f>
        <v>0</v>
      </c>
      <c r="B80">
        <f>[1]TruckNumbers!B83</f>
        <v>0</v>
      </c>
      <c r="C80" s="29">
        <f>[1]TruckNumbers!C83</f>
        <v>0</v>
      </c>
      <c r="D80" s="4">
        <f>[1]TruckNumbers!E83</f>
        <v>0</v>
      </c>
      <c r="E80" s="30">
        <f>[1]TruckNumbers!D83</f>
        <v>0</v>
      </c>
      <c r="F80" s="4">
        <f>[1]TruckNumbers!G83</f>
        <v>0</v>
      </c>
      <c r="G80">
        <f>[1]TruckNumbers!H83</f>
        <v>0</v>
      </c>
      <c r="H80" s="4">
        <f>[1]TruckNumbers!I83</f>
        <v>0</v>
      </c>
      <c r="I80" s="4">
        <f>[1]TruckNumbers!F83</f>
        <v>0</v>
      </c>
      <c r="J80" s="4">
        <f>[1]TruckNumbers!J83</f>
        <v>0</v>
      </c>
      <c r="K80" s="4">
        <f>[1]TruckNumbers!K83</f>
        <v>0</v>
      </c>
      <c r="L80" s="31">
        <f>[1]TruckNumbers!L83</f>
        <v>0</v>
      </c>
      <c r="M80">
        <f>[1]TruckNumbers!M83</f>
        <v>0</v>
      </c>
      <c r="N80">
        <f>[1]TruckNumbers!N83</f>
        <v>0</v>
      </c>
      <c r="O80" s="4">
        <f>[1]TruckNumbers!O83</f>
        <v>0</v>
      </c>
      <c r="P80" s="28">
        <f>[1]TruckNumbers!P83</f>
        <v>0</v>
      </c>
      <c r="Q80" s="4">
        <f>[1]TruckNumbers!Q83</f>
        <v>0</v>
      </c>
      <c r="R80" s="4">
        <f>[1]TruckNumbers!R83</f>
        <v>0</v>
      </c>
      <c r="S80" s="4">
        <f>[1]TruckNumbers!S83</f>
        <v>0</v>
      </c>
      <c r="T80" s="4">
        <f>[1]TruckNumbers!T83</f>
        <v>0</v>
      </c>
      <c r="U80">
        <f>[1]TruckNumbers!U83</f>
        <v>0</v>
      </c>
      <c r="V80">
        <f>[1]TruckNumbers!V83</f>
        <v>0</v>
      </c>
      <c r="W80">
        <f>[1]TruckNumbers!W83</f>
        <v>0</v>
      </c>
      <c r="X80">
        <f>[1]TruckNumbers!X83</f>
        <v>0</v>
      </c>
    </row>
    <row r="81" spans="1:24" x14ac:dyDescent="0.2">
      <c r="A81">
        <f>[1]TruckNumbers!A84</f>
        <v>0</v>
      </c>
      <c r="B81">
        <f>[1]TruckNumbers!B84</f>
        <v>0</v>
      </c>
      <c r="C81" s="29">
        <f>[1]TruckNumbers!C84</f>
        <v>0</v>
      </c>
      <c r="D81" s="4">
        <f>[1]TruckNumbers!E84</f>
        <v>0</v>
      </c>
      <c r="E81" s="30">
        <f>[1]TruckNumbers!D84</f>
        <v>0</v>
      </c>
      <c r="F81" s="4">
        <f>[1]TruckNumbers!G84</f>
        <v>0</v>
      </c>
      <c r="G81">
        <f>[1]TruckNumbers!H84</f>
        <v>0</v>
      </c>
      <c r="H81" s="4">
        <f>[1]TruckNumbers!I84</f>
        <v>0</v>
      </c>
      <c r="I81" s="4">
        <f>[1]TruckNumbers!F84</f>
        <v>0</v>
      </c>
      <c r="J81" s="4">
        <f>[1]TruckNumbers!J84</f>
        <v>0</v>
      </c>
      <c r="K81" s="4">
        <f>[1]TruckNumbers!K84</f>
        <v>0</v>
      </c>
      <c r="L81" s="31">
        <f>[1]TruckNumbers!L84</f>
        <v>0</v>
      </c>
      <c r="M81">
        <f>[1]TruckNumbers!M84</f>
        <v>0</v>
      </c>
      <c r="N81">
        <f>[1]TruckNumbers!N84</f>
        <v>0</v>
      </c>
      <c r="O81" s="4">
        <f>[1]TruckNumbers!O84</f>
        <v>0</v>
      </c>
      <c r="P81" s="28">
        <f>[1]TruckNumbers!P84</f>
        <v>0</v>
      </c>
      <c r="Q81" s="4">
        <f>[1]TruckNumbers!Q84</f>
        <v>0</v>
      </c>
      <c r="R81" s="4">
        <f>[1]TruckNumbers!R84</f>
        <v>0</v>
      </c>
      <c r="S81" s="4">
        <f>[1]TruckNumbers!S84</f>
        <v>0</v>
      </c>
      <c r="T81" s="4">
        <f>[1]TruckNumbers!T84</f>
        <v>0</v>
      </c>
      <c r="U81">
        <f>[1]TruckNumbers!U84</f>
        <v>0</v>
      </c>
      <c r="V81">
        <f>[1]TruckNumbers!V84</f>
        <v>0</v>
      </c>
      <c r="W81">
        <f>[1]TruckNumbers!W84</f>
        <v>0</v>
      </c>
      <c r="X81">
        <f>[1]TruckNumbers!X84</f>
        <v>0</v>
      </c>
    </row>
    <row r="82" spans="1:24" x14ac:dyDescent="0.2">
      <c r="A82">
        <f>[1]TruckNumbers!A85</f>
        <v>0</v>
      </c>
      <c r="B82">
        <f>[1]TruckNumbers!B85</f>
        <v>0</v>
      </c>
      <c r="C82" s="29">
        <f>[1]TruckNumbers!C85</f>
        <v>0</v>
      </c>
      <c r="D82" s="4">
        <f>[1]TruckNumbers!E85</f>
        <v>0</v>
      </c>
      <c r="E82" s="30">
        <f>[1]TruckNumbers!D85</f>
        <v>0</v>
      </c>
      <c r="F82" s="4">
        <f>[1]TruckNumbers!G85</f>
        <v>0</v>
      </c>
      <c r="G82">
        <f>[1]TruckNumbers!H85</f>
        <v>0</v>
      </c>
      <c r="H82" s="4">
        <f>[1]TruckNumbers!I85</f>
        <v>0</v>
      </c>
      <c r="I82" s="4">
        <f>[1]TruckNumbers!F85</f>
        <v>0</v>
      </c>
      <c r="J82" s="4">
        <f>[1]TruckNumbers!J85</f>
        <v>0</v>
      </c>
      <c r="K82" s="4">
        <f>[1]TruckNumbers!K85</f>
        <v>0</v>
      </c>
      <c r="L82" s="31">
        <f>[1]TruckNumbers!L85</f>
        <v>0</v>
      </c>
      <c r="M82">
        <f>[1]TruckNumbers!M85</f>
        <v>0</v>
      </c>
      <c r="N82">
        <f>[1]TruckNumbers!N85</f>
        <v>0</v>
      </c>
      <c r="O82" s="4">
        <f>[1]TruckNumbers!O85</f>
        <v>0</v>
      </c>
      <c r="P82" s="28">
        <f>[1]TruckNumbers!P85</f>
        <v>0</v>
      </c>
      <c r="Q82" s="4">
        <f>[1]TruckNumbers!Q85</f>
        <v>0</v>
      </c>
      <c r="R82" s="4">
        <f>[1]TruckNumbers!R85</f>
        <v>0</v>
      </c>
      <c r="S82" s="4">
        <f>[1]TruckNumbers!S85</f>
        <v>0</v>
      </c>
      <c r="T82" s="4">
        <f>[1]TruckNumbers!T85</f>
        <v>0</v>
      </c>
      <c r="U82">
        <f>[1]TruckNumbers!U85</f>
        <v>0</v>
      </c>
      <c r="V82">
        <f>[1]TruckNumbers!V85</f>
        <v>0</v>
      </c>
      <c r="W82">
        <f>[1]TruckNumbers!W85</f>
        <v>0</v>
      </c>
      <c r="X82">
        <f>[1]TruckNumbers!X85</f>
        <v>0</v>
      </c>
    </row>
    <row r="83" spans="1:24" x14ac:dyDescent="0.2">
      <c r="A83">
        <f>[1]TruckNumbers!A86</f>
        <v>0</v>
      </c>
      <c r="B83">
        <f>[1]TruckNumbers!B86</f>
        <v>0</v>
      </c>
      <c r="C83" s="29">
        <f>[1]TruckNumbers!C86</f>
        <v>0</v>
      </c>
      <c r="D83" s="4">
        <f>[1]TruckNumbers!E86</f>
        <v>0</v>
      </c>
      <c r="E83" s="30">
        <f>[1]TruckNumbers!D86</f>
        <v>0</v>
      </c>
      <c r="F83" s="4">
        <f>[1]TruckNumbers!G86</f>
        <v>0</v>
      </c>
      <c r="G83">
        <f>[1]TruckNumbers!H86</f>
        <v>0</v>
      </c>
      <c r="H83" s="4">
        <f>[1]TruckNumbers!I86</f>
        <v>0</v>
      </c>
      <c r="I83" s="4">
        <f>[1]TruckNumbers!F86</f>
        <v>0</v>
      </c>
      <c r="J83" s="4">
        <f>[1]TruckNumbers!J86</f>
        <v>0</v>
      </c>
      <c r="K83" s="4">
        <f>[1]TruckNumbers!K86</f>
        <v>0</v>
      </c>
      <c r="L83" s="31">
        <f>[1]TruckNumbers!L86</f>
        <v>0</v>
      </c>
      <c r="M83">
        <f>[1]TruckNumbers!M86</f>
        <v>0</v>
      </c>
      <c r="N83">
        <f>[1]TruckNumbers!N86</f>
        <v>0</v>
      </c>
      <c r="O83" s="4">
        <f>[1]TruckNumbers!O86</f>
        <v>0</v>
      </c>
      <c r="P83" s="28">
        <f>[1]TruckNumbers!P86</f>
        <v>0</v>
      </c>
      <c r="Q83" s="4">
        <f>[1]TruckNumbers!Q86</f>
        <v>0</v>
      </c>
      <c r="R83" s="4">
        <f>[1]TruckNumbers!R86</f>
        <v>0</v>
      </c>
      <c r="S83" s="4">
        <f>[1]TruckNumbers!S86</f>
        <v>0</v>
      </c>
      <c r="T83" s="4">
        <f>[1]TruckNumbers!T86</f>
        <v>0</v>
      </c>
      <c r="U83">
        <f>[1]TruckNumbers!U86</f>
        <v>0</v>
      </c>
      <c r="V83">
        <f>[1]TruckNumbers!V86</f>
        <v>0</v>
      </c>
      <c r="W83">
        <f>[1]TruckNumbers!W86</f>
        <v>0</v>
      </c>
      <c r="X83">
        <f>[1]TruckNumbers!X86</f>
        <v>0</v>
      </c>
    </row>
    <row r="84" spans="1:24" x14ac:dyDescent="0.2">
      <c r="A84">
        <f>[1]TruckNumbers!A87</f>
        <v>0</v>
      </c>
      <c r="B84">
        <f>[1]TruckNumbers!B87</f>
        <v>0</v>
      </c>
      <c r="C84" s="29">
        <f>[1]TruckNumbers!C87</f>
        <v>0</v>
      </c>
      <c r="D84" s="4">
        <f>[1]TruckNumbers!E87</f>
        <v>0</v>
      </c>
      <c r="E84" s="30">
        <f>[1]TruckNumbers!D87</f>
        <v>0</v>
      </c>
      <c r="F84" s="4">
        <f>[1]TruckNumbers!G87</f>
        <v>0</v>
      </c>
      <c r="G84">
        <f>[1]TruckNumbers!H87</f>
        <v>0</v>
      </c>
      <c r="H84" s="4">
        <f>[1]TruckNumbers!I87</f>
        <v>0</v>
      </c>
      <c r="I84" s="4">
        <f>[1]TruckNumbers!F87</f>
        <v>0</v>
      </c>
      <c r="J84" s="4">
        <f>[1]TruckNumbers!J87</f>
        <v>0</v>
      </c>
      <c r="K84" s="4">
        <f>[1]TruckNumbers!K87</f>
        <v>0</v>
      </c>
      <c r="L84" s="31">
        <f>[1]TruckNumbers!L87</f>
        <v>0</v>
      </c>
      <c r="M84">
        <f>[1]TruckNumbers!M87</f>
        <v>0</v>
      </c>
      <c r="N84">
        <f>[1]TruckNumbers!N87</f>
        <v>0</v>
      </c>
      <c r="O84" s="4">
        <f>[1]TruckNumbers!O87</f>
        <v>0</v>
      </c>
      <c r="P84" s="28">
        <f>[1]TruckNumbers!P87</f>
        <v>0</v>
      </c>
      <c r="Q84" s="4">
        <f>[1]TruckNumbers!Q87</f>
        <v>0</v>
      </c>
      <c r="R84" s="4">
        <f>[1]TruckNumbers!R87</f>
        <v>0</v>
      </c>
      <c r="S84" s="4">
        <f>[1]TruckNumbers!S87</f>
        <v>0</v>
      </c>
      <c r="T84" s="4">
        <f>[1]TruckNumbers!T87</f>
        <v>0</v>
      </c>
      <c r="U84">
        <f>[1]TruckNumbers!U87</f>
        <v>0</v>
      </c>
      <c r="V84">
        <f>[1]TruckNumbers!V87</f>
        <v>0</v>
      </c>
      <c r="W84">
        <f>[1]TruckNumbers!W87</f>
        <v>0</v>
      </c>
      <c r="X84">
        <f>[1]TruckNumbers!X87</f>
        <v>0</v>
      </c>
    </row>
    <row r="85" spans="1:24" x14ac:dyDescent="0.2">
      <c r="A85">
        <f>[1]TruckNumbers!A88</f>
        <v>0</v>
      </c>
      <c r="B85">
        <f>[1]TruckNumbers!B88</f>
        <v>0</v>
      </c>
      <c r="C85" s="29">
        <f>[1]TruckNumbers!C88</f>
        <v>0</v>
      </c>
      <c r="D85" s="4">
        <f>[1]TruckNumbers!E88</f>
        <v>0</v>
      </c>
      <c r="E85" s="30">
        <f>[1]TruckNumbers!D88</f>
        <v>0</v>
      </c>
      <c r="F85" s="4">
        <f>[1]TruckNumbers!G88</f>
        <v>0</v>
      </c>
      <c r="G85">
        <f>[1]TruckNumbers!H88</f>
        <v>0</v>
      </c>
      <c r="H85" s="4">
        <f>[1]TruckNumbers!I88</f>
        <v>0</v>
      </c>
      <c r="I85" s="4">
        <f>[1]TruckNumbers!F88</f>
        <v>0</v>
      </c>
      <c r="J85" s="4">
        <f>[1]TruckNumbers!J88</f>
        <v>0</v>
      </c>
      <c r="K85" s="4">
        <f>[1]TruckNumbers!K88</f>
        <v>0</v>
      </c>
      <c r="L85" s="31">
        <f>[1]TruckNumbers!L88</f>
        <v>0</v>
      </c>
      <c r="M85">
        <f>[1]TruckNumbers!M88</f>
        <v>0</v>
      </c>
      <c r="N85">
        <f>[1]TruckNumbers!N88</f>
        <v>0</v>
      </c>
      <c r="O85" s="4">
        <f>[1]TruckNumbers!O88</f>
        <v>0</v>
      </c>
      <c r="P85" s="28">
        <f>[1]TruckNumbers!P88</f>
        <v>0</v>
      </c>
      <c r="Q85" s="4">
        <f>[1]TruckNumbers!Q88</f>
        <v>0</v>
      </c>
      <c r="R85" s="4">
        <f>[1]TruckNumbers!R88</f>
        <v>0</v>
      </c>
      <c r="S85" s="4">
        <f>[1]TruckNumbers!S88</f>
        <v>0</v>
      </c>
      <c r="T85" s="4">
        <f>[1]TruckNumbers!T88</f>
        <v>0</v>
      </c>
      <c r="U85">
        <f>[1]TruckNumbers!U88</f>
        <v>0</v>
      </c>
      <c r="V85">
        <f>[1]TruckNumbers!V88</f>
        <v>0</v>
      </c>
      <c r="W85">
        <f>[1]TruckNumbers!W88</f>
        <v>0</v>
      </c>
      <c r="X85">
        <f>[1]TruckNumbers!X88</f>
        <v>0</v>
      </c>
    </row>
    <row r="86" spans="1:24" x14ac:dyDescent="0.2">
      <c r="A86">
        <f>[1]TruckNumbers!A89</f>
        <v>0</v>
      </c>
      <c r="B86">
        <f>[1]TruckNumbers!B89</f>
        <v>0</v>
      </c>
      <c r="C86" s="29">
        <f>[1]TruckNumbers!C89</f>
        <v>0</v>
      </c>
      <c r="D86" s="4">
        <f>[1]TruckNumbers!E89</f>
        <v>0</v>
      </c>
      <c r="E86" s="30">
        <f>[1]TruckNumbers!D89</f>
        <v>0</v>
      </c>
      <c r="F86" s="4">
        <f>[1]TruckNumbers!G89</f>
        <v>0</v>
      </c>
      <c r="G86">
        <f>[1]TruckNumbers!H89</f>
        <v>0</v>
      </c>
      <c r="H86" s="4">
        <f>[1]TruckNumbers!I89</f>
        <v>0</v>
      </c>
      <c r="I86" s="4">
        <f>[1]TruckNumbers!F89</f>
        <v>0</v>
      </c>
      <c r="J86" s="4">
        <f>[1]TruckNumbers!J89</f>
        <v>0</v>
      </c>
      <c r="K86" s="4">
        <f>[1]TruckNumbers!K89</f>
        <v>0</v>
      </c>
      <c r="L86" s="31">
        <f>[1]TruckNumbers!L89</f>
        <v>0</v>
      </c>
      <c r="M86">
        <f>[1]TruckNumbers!M89</f>
        <v>0</v>
      </c>
      <c r="N86">
        <f>[1]TruckNumbers!N89</f>
        <v>0</v>
      </c>
      <c r="O86" s="4">
        <f>[1]TruckNumbers!O89</f>
        <v>0</v>
      </c>
      <c r="P86" s="28">
        <f>[1]TruckNumbers!P89</f>
        <v>0</v>
      </c>
      <c r="Q86" s="4">
        <f>[1]TruckNumbers!Q89</f>
        <v>0</v>
      </c>
      <c r="R86" s="4">
        <f>[1]TruckNumbers!R89</f>
        <v>0</v>
      </c>
      <c r="S86" s="4">
        <f>[1]TruckNumbers!S89</f>
        <v>0</v>
      </c>
      <c r="T86" s="4">
        <f>[1]TruckNumbers!T89</f>
        <v>0</v>
      </c>
      <c r="U86">
        <f>[1]TruckNumbers!U89</f>
        <v>0</v>
      </c>
      <c r="V86">
        <f>[1]TruckNumbers!V89</f>
        <v>0</v>
      </c>
      <c r="W86">
        <f>[1]TruckNumbers!W89</f>
        <v>0</v>
      </c>
      <c r="X86">
        <f>[1]TruckNumbers!X89</f>
        <v>0</v>
      </c>
    </row>
    <row r="87" spans="1:24" x14ac:dyDescent="0.2">
      <c r="A87">
        <f>[1]TruckNumbers!A90</f>
        <v>0</v>
      </c>
      <c r="B87">
        <f>[1]TruckNumbers!B90</f>
        <v>0</v>
      </c>
      <c r="C87" s="29">
        <f>[1]TruckNumbers!C90</f>
        <v>0</v>
      </c>
      <c r="D87" s="4">
        <f>[1]TruckNumbers!E90</f>
        <v>0</v>
      </c>
      <c r="E87" s="30">
        <f>[1]TruckNumbers!D90</f>
        <v>0</v>
      </c>
      <c r="F87" s="4">
        <f>[1]TruckNumbers!G90</f>
        <v>0</v>
      </c>
      <c r="G87">
        <f>[1]TruckNumbers!H90</f>
        <v>0</v>
      </c>
      <c r="H87" s="4">
        <f>[1]TruckNumbers!I90</f>
        <v>0</v>
      </c>
      <c r="I87" s="4">
        <f>[1]TruckNumbers!F90</f>
        <v>0</v>
      </c>
      <c r="J87" s="4">
        <f>[1]TruckNumbers!J90</f>
        <v>0</v>
      </c>
      <c r="K87" s="4">
        <f>[1]TruckNumbers!K90</f>
        <v>0</v>
      </c>
      <c r="L87" s="31">
        <f>[1]TruckNumbers!L90</f>
        <v>0</v>
      </c>
      <c r="M87">
        <f>[1]TruckNumbers!M90</f>
        <v>0</v>
      </c>
      <c r="N87">
        <f>[1]TruckNumbers!N90</f>
        <v>0</v>
      </c>
      <c r="O87" s="4">
        <f>[1]TruckNumbers!O90</f>
        <v>0</v>
      </c>
      <c r="P87" s="28">
        <f>[1]TruckNumbers!P90</f>
        <v>0</v>
      </c>
      <c r="Q87" s="4">
        <f>[1]TruckNumbers!Q90</f>
        <v>0</v>
      </c>
      <c r="R87" s="4">
        <f>[1]TruckNumbers!R90</f>
        <v>0</v>
      </c>
      <c r="S87" s="4">
        <f>[1]TruckNumbers!S90</f>
        <v>0</v>
      </c>
      <c r="T87" s="4">
        <f>[1]TruckNumbers!T90</f>
        <v>0</v>
      </c>
      <c r="U87">
        <f>[1]TruckNumbers!U90</f>
        <v>0</v>
      </c>
      <c r="V87">
        <f>[1]TruckNumbers!V90</f>
        <v>0</v>
      </c>
      <c r="W87">
        <f>[1]TruckNumbers!W90</f>
        <v>0</v>
      </c>
      <c r="X87">
        <f>[1]TruckNumbers!X90</f>
        <v>0</v>
      </c>
    </row>
    <row r="88" spans="1:24" x14ac:dyDescent="0.2">
      <c r="A88">
        <f>[1]TruckNumbers!A91</f>
        <v>0</v>
      </c>
      <c r="B88">
        <f>[1]TruckNumbers!B91</f>
        <v>0</v>
      </c>
      <c r="C88" s="29">
        <f>[1]TruckNumbers!C91</f>
        <v>0</v>
      </c>
      <c r="D88" s="4">
        <f>[1]TruckNumbers!E91</f>
        <v>0</v>
      </c>
      <c r="E88" s="30">
        <f>[1]TruckNumbers!D91</f>
        <v>0</v>
      </c>
      <c r="F88" s="4">
        <f>[1]TruckNumbers!G91</f>
        <v>0</v>
      </c>
      <c r="G88">
        <f>[1]TruckNumbers!H91</f>
        <v>0</v>
      </c>
      <c r="H88" s="4">
        <f>[1]TruckNumbers!I91</f>
        <v>0</v>
      </c>
      <c r="I88" s="4">
        <f>[1]TruckNumbers!F91</f>
        <v>0</v>
      </c>
      <c r="J88" s="4">
        <f>[1]TruckNumbers!J91</f>
        <v>0</v>
      </c>
      <c r="K88" s="4">
        <f>[1]TruckNumbers!K91</f>
        <v>0</v>
      </c>
      <c r="L88" s="31">
        <f>[1]TruckNumbers!L91</f>
        <v>0</v>
      </c>
      <c r="M88">
        <f>[1]TruckNumbers!M91</f>
        <v>0</v>
      </c>
      <c r="N88">
        <f>[1]TruckNumbers!N91</f>
        <v>0</v>
      </c>
      <c r="O88" s="4">
        <f>[1]TruckNumbers!O91</f>
        <v>0</v>
      </c>
      <c r="P88" s="28">
        <f>[1]TruckNumbers!P91</f>
        <v>0</v>
      </c>
      <c r="Q88" s="4">
        <f>[1]TruckNumbers!Q91</f>
        <v>0</v>
      </c>
      <c r="R88" s="4">
        <f>[1]TruckNumbers!R91</f>
        <v>0</v>
      </c>
      <c r="S88" s="4">
        <f>[1]TruckNumbers!S91</f>
        <v>0</v>
      </c>
      <c r="T88" s="4">
        <f>[1]TruckNumbers!T91</f>
        <v>0</v>
      </c>
      <c r="U88">
        <f>[1]TruckNumbers!U91</f>
        <v>0</v>
      </c>
      <c r="V88">
        <f>[1]TruckNumbers!V91</f>
        <v>0</v>
      </c>
      <c r="W88">
        <f>[1]TruckNumbers!W91</f>
        <v>0</v>
      </c>
      <c r="X88">
        <f>[1]TruckNumbers!X91</f>
        <v>0</v>
      </c>
    </row>
    <row r="89" spans="1:24" x14ac:dyDescent="0.2">
      <c r="A89">
        <f>[1]TruckNumbers!A92</f>
        <v>0</v>
      </c>
      <c r="B89">
        <f>[1]TruckNumbers!B92</f>
        <v>0</v>
      </c>
      <c r="C89" s="29">
        <f>[1]TruckNumbers!C92</f>
        <v>0</v>
      </c>
      <c r="D89" s="4">
        <f>[1]TruckNumbers!E92</f>
        <v>0</v>
      </c>
      <c r="E89" s="30">
        <f>[1]TruckNumbers!D92</f>
        <v>0</v>
      </c>
      <c r="F89" s="4">
        <f>[1]TruckNumbers!G92</f>
        <v>0</v>
      </c>
      <c r="G89">
        <f>[1]TruckNumbers!H92</f>
        <v>0</v>
      </c>
      <c r="H89" s="4">
        <f>[1]TruckNumbers!I92</f>
        <v>0</v>
      </c>
      <c r="I89" s="4">
        <f>[1]TruckNumbers!F92</f>
        <v>0</v>
      </c>
      <c r="J89" s="4">
        <f>[1]TruckNumbers!J92</f>
        <v>0</v>
      </c>
      <c r="K89" s="4">
        <f>[1]TruckNumbers!K92</f>
        <v>0</v>
      </c>
      <c r="L89" s="31">
        <f>[1]TruckNumbers!L92</f>
        <v>0</v>
      </c>
      <c r="M89">
        <f>[1]TruckNumbers!M92</f>
        <v>0</v>
      </c>
      <c r="N89">
        <f>[1]TruckNumbers!N92</f>
        <v>0</v>
      </c>
      <c r="O89" s="4">
        <f>[1]TruckNumbers!O92</f>
        <v>0</v>
      </c>
      <c r="P89" s="28">
        <f>[1]TruckNumbers!P92</f>
        <v>0</v>
      </c>
      <c r="Q89" s="4">
        <f>[1]TruckNumbers!Q92</f>
        <v>0</v>
      </c>
      <c r="R89" s="4">
        <f>[1]TruckNumbers!R92</f>
        <v>0</v>
      </c>
      <c r="S89" s="4">
        <f>[1]TruckNumbers!S92</f>
        <v>0</v>
      </c>
      <c r="T89" s="4">
        <f>[1]TruckNumbers!T92</f>
        <v>0</v>
      </c>
      <c r="U89">
        <f>[1]TruckNumbers!U92</f>
        <v>0</v>
      </c>
      <c r="V89">
        <f>[1]TruckNumbers!V92</f>
        <v>0</v>
      </c>
      <c r="W89">
        <f>[1]TruckNumbers!W92</f>
        <v>0</v>
      </c>
      <c r="X89">
        <f>[1]TruckNumbers!X92</f>
        <v>0</v>
      </c>
    </row>
    <row r="90" spans="1:24" x14ac:dyDescent="0.2">
      <c r="A90">
        <f>[1]TruckNumbers!A93</f>
        <v>0</v>
      </c>
      <c r="B90">
        <f>[1]TruckNumbers!B93</f>
        <v>0</v>
      </c>
      <c r="C90" s="29">
        <f>[1]TruckNumbers!C93</f>
        <v>0</v>
      </c>
      <c r="D90" s="4">
        <f>[1]TruckNumbers!E93</f>
        <v>0</v>
      </c>
      <c r="E90" s="30">
        <f>[1]TruckNumbers!D93</f>
        <v>0</v>
      </c>
      <c r="F90" s="4">
        <f>[1]TruckNumbers!G93</f>
        <v>0</v>
      </c>
      <c r="G90">
        <f>[1]TruckNumbers!H93</f>
        <v>0</v>
      </c>
      <c r="H90" s="4">
        <f>[1]TruckNumbers!I93</f>
        <v>0</v>
      </c>
      <c r="I90" s="4">
        <f>[1]TruckNumbers!F93</f>
        <v>0</v>
      </c>
      <c r="J90" s="4">
        <f>[1]TruckNumbers!J93</f>
        <v>0</v>
      </c>
      <c r="K90" s="4">
        <f>[1]TruckNumbers!K93</f>
        <v>0</v>
      </c>
      <c r="L90" s="31">
        <f>[1]TruckNumbers!L93</f>
        <v>0</v>
      </c>
      <c r="M90">
        <f>[1]TruckNumbers!M93</f>
        <v>0</v>
      </c>
      <c r="N90">
        <f>[1]TruckNumbers!N93</f>
        <v>0</v>
      </c>
      <c r="O90" s="4">
        <f>[1]TruckNumbers!O93</f>
        <v>0</v>
      </c>
      <c r="P90" s="28">
        <f>[1]TruckNumbers!P93</f>
        <v>0</v>
      </c>
      <c r="Q90" s="4">
        <f>[1]TruckNumbers!Q93</f>
        <v>0</v>
      </c>
      <c r="R90" s="4">
        <f>[1]TruckNumbers!R93</f>
        <v>0</v>
      </c>
      <c r="S90" s="4">
        <f>[1]TruckNumbers!S93</f>
        <v>0</v>
      </c>
      <c r="T90" s="4">
        <f>[1]TruckNumbers!T93</f>
        <v>0</v>
      </c>
      <c r="U90">
        <f>[1]TruckNumbers!U93</f>
        <v>0</v>
      </c>
      <c r="V90">
        <f>[1]TruckNumbers!V93</f>
        <v>0</v>
      </c>
      <c r="W90">
        <f>[1]TruckNumbers!W93</f>
        <v>0</v>
      </c>
      <c r="X90">
        <f>[1]TruckNumbers!X93</f>
        <v>0</v>
      </c>
    </row>
    <row r="91" spans="1:24" x14ac:dyDescent="0.2">
      <c r="A91">
        <f>[1]TruckNumbers!A94</f>
        <v>0</v>
      </c>
      <c r="B91">
        <f>[1]TruckNumbers!B94</f>
        <v>0</v>
      </c>
      <c r="C91" s="29">
        <f>[1]TruckNumbers!C94</f>
        <v>0</v>
      </c>
      <c r="D91" s="4">
        <f>[1]TruckNumbers!E94</f>
        <v>0</v>
      </c>
      <c r="E91" s="30">
        <f>[1]TruckNumbers!D94</f>
        <v>0</v>
      </c>
      <c r="F91" s="4">
        <f>[1]TruckNumbers!G94</f>
        <v>0</v>
      </c>
      <c r="G91">
        <f>[1]TruckNumbers!H94</f>
        <v>0</v>
      </c>
      <c r="H91" s="4">
        <f>[1]TruckNumbers!I94</f>
        <v>0</v>
      </c>
      <c r="I91" s="4">
        <f>[1]TruckNumbers!F94</f>
        <v>0</v>
      </c>
      <c r="J91" s="4">
        <f>[1]TruckNumbers!J94</f>
        <v>0</v>
      </c>
      <c r="K91" s="4">
        <f>[1]TruckNumbers!K94</f>
        <v>0</v>
      </c>
      <c r="L91" s="31">
        <f>[1]TruckNumbers!L94</f>
        <v>0</v>
      </c>
      <c r="M91">
        <f>[1]TruckNumbers!M94</f>
        <v>0</v>
      </c>
      <c r="N91">
        <f>[1]TruckNumbers!N94</f>
        <v>0</v>
      </c>
      <c r="O91" s="4">
        <f>[1]TruckNumbers!O94</f>
        <v>0</v>
      </c>
      <c r="P91" s="28">
        <f>[1]TruckNumbers!P94</f>
        <v>0</v>
      </c>
      <c r="Q91" s="4">
        <f>[1]TruckNumbers!Q94</f>
        <v>0</v>
      </c>
      <c r="R91" s="4">
        <f>[1]TruckNumbers!R94</f>
        <v>0</v>
      </c>
      <c r="S91" s="4">
        <f>[1]TruckNumbers!S94</f>
        <v>0</v>
      </c>
      <c r="T91" s="4">
        <f>[1]TruckNumbers!T94</f>
        <v>0</v>
      </c>
      <c r="U91">
        <f>[1]TruckNumbers!U94</f>
        <v>0</v>
      </c>
      <c r="V91">
        <f>[1]TruckNumbers!V94</f>
        <v>0</v>
      </c>
      <c r="W91">
        <f>[1]TruckNumbers!W94</f>
        <v>0</v>
      </c>
      <c r="X91">
        <f>[1]TruckNumbers!X94</f>
        <v>0</v>
      </c>
    </row>
    <row r="92" spans="1:24" x14ac:dyDescent="0.2">
      <c r="A92">
        <f>[1]TruckNumbers!A95</f>
        <v>0</v>
      </c>
      <c r="B92">
        <f>[1]TruckNumbers!B95</f>
        <v>0</v>
      </c>
      <c r="C92" s="29">
        <f>[1]TruckNumbers!C95</f>
        <v>0</v>
      </c>
      <c r="D92" s="4">
        <f>[1]TruckNumbers!E95</f>
        <v>0</v>
      </c>
      <c r="E92" s="30">
        <f>[1]TruckNumbers!D95</f>
        <v>0</v>
      </c>
      <c r="F92" s="4">
        <f>[1]TruckNumbers!G95</f>
        <v>0</v>
      </c>
      <c r="G92">
        <f>[1]TruckNumbers!H95</f>
        <v>0</v>
      </c>
      <c r="H92" s="4">
        <f>[1]TruckNumbers!I95</f>
        <v>0</v>
      </c>
      <c r="I92" s="4">
        <f>[1]TruckNumbers!F95</f>
        <v>0</v>
      </c>
      <c r="J92" s="4">
        <f>[1]TruckNumbers!J95</f>
        <v>0</v>
      </c>
      <c r="K92" s="4">
        <f>[1]TruckNumbers!K95</f>
        <v>0</v>
      </c>
      <c r="L92" s="31">
        <f>[1]TruckNumbers!L95</f>
        <v>0</v>
      </c>
      <c r="M92">
        <f>[1]TruckNumbers!M95</f>
        <v>0</v>
      </c>
      <c r="N92">
        <f>[1]TruckNumbers!N95</f>
        <v>0</v>
      </c>
      <c r="O92" s="4">
        <f>[1]TruckNumbers!O95</f>
        <v>0</v>
      </c>
      <c r="P92" s="28">
        <f>[1]TruckNumbers!P95</f>
        <v>0</v>
      </c>
      <c r="Q92" s="4">
        <f>[1]TruckNumbers!Q95</f>
        <v>0</v>
      </c>
      <c r="R92" s="4">
        <f>[1]TruckNumbers!R95</f>
        <v>0</v>
      </c>
      <c r="S92" s="4">
        <f>[1]TruckNumbers!S95</f>
        <v>0</v>
      </c>
      <c r="T92" s="4">
        <f>[1]TruckNumbers!T95</f>
        <v>0</v>
      </c>
      <c r="U92">
        <f>[1]TruckNumbers!U95</f>
        <v>0</v>
      </c>
      <c r="V92">
        <f>[1]TruckNumbers!V95</f>
        <v>0</v>
      </c>
      <c r="W92">
        <f>[1]TruckNumbers!W95</f>
        <v>0</v>
      </c>
      <c r="X92">
        <f>[1]TruckNumbers!X95</f>
        <v>0</v>
      </c>
    </row>
    <row r="93" spans="1:24" x14ac:dyDescent="0.2">
      <c r="A93">
        <f>[1]TruckNumbers!A96</f>
        <v>0</v>
      </c>
      <c r="B93">
        <f>[1]TruckNumbers!B96</f>
        <v>0</v>
      </c>
      <c r="C93" s="29">
        <f>[1]TruckNumbers!C96</f>
        <v>0</v>
      </c>
      <c r="D93" s="4">
        <f>[1]TruckNumbers!E96</f>
        <v>0</v>
      </c>
      <c r="E93" s="30">
        <f>[1]TruckNumbers!D96</f>
        <v>0</v>
      </c>
      <c r="F93" s="4">
        <f>[1]TruckNumbers!G96</f>
        <v>0</v>
      </c>
      <c r="G93">
        <f>[1]TruckNumbers!H96</f>
        <v>0</v>
      </c>
      <c r="H93" s="4">
        <f>[1]TruckNumbers!I96</f>
        <v>0</v>
      </c>
      <c r="I93" s="4">
        <f>[1]TruckNumbers!F96</f>
        <v>0</v>
      </c>
      <c r="J93" s="4">
        <f>[1]TruckNumbers!J96</f>
        <v>0</v>
      </c>
      <c r="K93" s="4">
        <f>[1]TruckNumbers!K96</f>
        <v>0</v>
      </c>
      <c r="L93" s="31">
        <f>[1]TruckNumbers!L96</f>
        <v>0</v>
      </c>
      <c r="M93">
        <f>[1]TruckNumbers!M96</f>
        <v>0</v>
      </c>
      <c r="N93">
        <f>[1]TruckNumbers!N96</f>
        <v>0</v>
      </c>
      <c r="O93" s="4">
        <f>[1]TruckNumbers!O96</f>
        <v>0</v>
      </c>
      <c r="P93" s="28">
        <f>[1]TruckNumbers!P96</f>
        <v>0</v>
      </c>
      <c r="Q93" s="4">
        <f>[1]TruckNumbers!Q96</f>
        <v>0</v>
      </c>
      <c r="R93" s="4">
        <f>[1]TruckNumbers!R96</f>
        <v>0</v>
      </c>
      <c r="S93" s="4">
        <f>[1]TruckNumbers!S96</f>
        <v>0</v>
      </c>
      <c r="T93" s="4">
        <f>[1]TruckNumbers!T96</f>
        <v>0</v>
      </c>
      <c r="U93">
        <f>[1]TruckNumbers!U96</f>
        <v>0</v>
      </c>
      <c r="V93">
        <f>[1]TruckNumbers!V96</f>
        <v>0</v>
      </c>
      <c r="W93">
        <f>[1]TruckNumbers!W96</f>
        <v>0</v>
      </c>
      <c r="X93">
        <f>[1]TruckNumbers!X96</f>
        <v>0</v>
      </c>
    </row>
    <row r="94" spans="1:24" x14ac:dyDescent="0.2">
      <c r="A94">
        <f>[1]TruckNumbers!A97</f>
        <v>0</v>
      </c>
      <c r="B94">
        <f>[1]TruckNumbers!B97</f>
        <v>0</v>
      </c>
      <c r="C94" s="29">
        <f>[1]TruckNumbers!C97</f>
        <v>0</v>
      </c>
      <c r="D94" s="4">
        <f>[1]TruckNumbers!E97</f>
        <v>0</v>
      </c>
      <c r="E94" s="30">
        <f>[1]TruckNumbers!D97</f>
        <v>0</v>
      </c>
      <c r="F94" s="4">
        <f>[1]TruckNumbers!G97</f>
        <v>0</v>
      </c>
      <c r="G94">
        <f>[1]TruckNumbers!H97</f>
        <v>0</v>
      </c>
      <c r="H94" s="4">
        <f>[1]TruckNumbers!I97</f>
        <v>0</v>
      </c>
      <c r="I94" s="4">
        <f>[1]TruckNumbers!F97</f>
        <v>0</v>
      </c>
      <c r="J94" s="4">
        <f>[1]TruckNumbers!J97</f>
        <v>0</v>
      </c>
      <c r="K94" s="4">
        <f>[1]TruckNumbers!K97</f>
        <v>0</v>
      </c>
      <c r="L94" s="31">
        <f>[1]TruckNumbers!L97</f>
        <v>0</v>
      </c>
      <c r="M94">
        <f>[1]TruckNumbers!M97</f>
        <v>0</v>
      </c>
      <c r="N94">
        <f>[1]TruckNumbers!N97</f>
        <v>0</v>
      </c>
      <c r="O94" s="4">
        <f>[1]TruckNumbers!O97</f>
        <v>0</v>
      </c>
      <c r="P94" s="28">
        <f>[1]TruckNumbers!P97</f>
        <v>0</v>
      </c>
      <c r="Q94" s="4">
        <f>[1]TruckNumbers!Q97</f>
        <v>0</v>
      </c>
      <c r="R94" s="4">
        <f>[1]TruckNumbers!R97</f>
        <v>0</v>
      </c>
      <c r="S94" s="4">
        <f>[1]TruckNumbers!S97</f>
        <v>0</v>
      </c>
      <c r="T94" s="4">
        <f>[1]TruckNumbers!T97</f>
        <v>0</v>
      </c>
      <c r="U94">
        <f>[1]TruckNumbers!U97</f>
        <v>0</v>
      </c>
      <c r="V94">
        <f>[1]TruckNumbers!V97</f>
        <v>0</v>
      </c>
      <c r="W94">
        <f>[1]TruckNumbers!W97</f>
        <v>0</v>
      </c>
      <c r="X94">
        <f>[1]TruckNumbers!X97</f>
        <v>0</v>
      </c>
    </row>
    <row r="95" spans="1:24" x14ac:dyDescent="0.2">
      <c r="A95">
        <f>[1]TruckNumbers!A98</f>
        <v>0</v>
      </c>
      <c r="B95">
        <f>[1]TruckNumbers!B98</f>
        <v>0</v>
      </c>
      <c r="C95" s="29">
        <f>[1]TruckNumbers!C98</f>
        <v>0</v>
      </c>
      <c r="D95" s="4">
        <f>[1]TruckNumbers!E98</f>
        <v>0</v>
      </c>
      <c r="E95" s="30">
        <f>[1]TruckNumbers!D98</f>
        <v>0</v>
      </c>
      <c r="F95" s="4">
        <f>[1]TruckNumbers!G98</f>
        <v>0</v>
      </c>
      <c r="G95">
        <f>[1]TruckNumbers!H98</f>
        <v>0</v>
      </c>
      <c r="H95" s="4">
        <f>[1]TruckNumbers!I98</f>
        <v>0</v>
      </c>
      <c r="I95" s="4">
        <f>[1]TruckNumbers!F98</f>
        <v>0</v>
      </c>
      <c r="J95" s="4">
        <f>[1]TruckNumbers!J98</f>
        <v>0</v>
      </c>
      <c r="K95" s="4">
        <f>[1]TruckNumbers!K98</f>
        <v>0</v>
      </c>
      <c r="L95" s="31">
        <f>[1]TruckNumbers!L98</f>
        <v>0</v>
      </c>
      <c r="M95">
        <f>[1]TruckNumbers!M98</f>
        <v>0</v>
      </c>
      <c r="N95">
        <f>[1]TruckNumbers!N98</f>
        <v>0</v>
      </c>
      <c r="O95" s="4">
        <f>[1]TruckNumbers!O98</f>
        <v>0</v>
      </c>
      <c r="P95" s="28">
        <f>[1]TruckNumbers!P98</f>
        <v>0</v>
      </c>
      <c r="Q95" s="4">
        <f>[1]TruckNumbers!Q98</f>
        <v>0</v>
      </c>
      <c r="R95" s="4">
        <f>[1]TruckNumbers!R98</f>
        <v>0</v>
      </c>
      <c r="S95" s="4">
        <f>[1]TruckNumbers!S98</f>
        <v>0</v>
      </c>
      <c r="T95" s="4">
        <f>[1]TruckNumbers!T98</f>
        <v>0</v>
      </c>
      <c r="U95">
        <f>[1]TruckNumbers!U98</f>
        <v>0</v>
      </c>
      <c r="V95">
        <f>[1]TruckNumbers!V98</f>
        <v>0</v>
      </c>
      <c r="W95">
        <f>[1]TruckNumbers!W98</f>
        <v>0</v>
      </c>
      <c r="X95">
        <f>[1]TruckNumbers!X98</f>
        <v>0</v>
      </c>
    </row>
    <row r="96" spans="1:24" x14ac:dyDescent="0.2">
      <c r="A96">
        <f>[1]TruckNumbers!A99</f>
        <v>0</v>
      </c>
      <c r="B96">
        <f>[1]TruckNumbers!B99</f>
        <v>0</v>
      </c>
      <c r="C96" s="29">
        <f>[1]TruckNumbers!C99</f>
        <v>0</v>
      </c>
      <c r="D96" s="4">
        <f>[1]TruckNumbers!E99</f>
        <v>0</v>
      </c>
      <c r="E96" s="30">
        <f>[1]TruckNumbers!D99</f>
        <v>0</v>
      </c>
      <c r="F96" s="4">
        <f>[1]TruckNumbers!G99</f>
        <v>0</v>
      </c>
      <c r="G96">
        <f>[1]TruckNumbers!H99</f>
        <v>0</v>
      </c>
      <c r="H96" s="4">
        <f>[1]TruckNumbers!I99</f>
        <v>0</v>
      </c>
      <c r="I96" s="4">
        <f>[1]TruckNumbers!F99</f>
        <v>0</v>
      </c>
      <c r="J96" s="4">
        <f>[1]TruckNumbers!J99</f>
        <v>0</v>
      </c>
      <c r="K96" s="4">
        <f>[1]TruckNumbers!K99</f>
        <v>0</v>
      </c>
      <c r="L96" s="31">
        <f>[1]TruckNumbers!L99</f>
        <v>0</v>
      </c>
      <c r="M96">
        <f>[1]TruckNumbers!M99</f>
        <v>0</v>
      </c>
      <c r="N96">
        <f>[1]TruckNumbers!N99</f>
        <v>0</v>
      </c>
      <c r="O96" s="4">
        <f>[1]TruckNumbers!O99</f>
        <v>0</v>
      </c>
      <c r="P96" s="28">
        <f>[1]TruckNumbers!P99</f>
        <v>0</v>
      </c>
      <c r="Q96" s="4">
        <f>[1]TruckNumbers!Q99</f>
        <v>0</v>
      </c>
      <c r="R96" s="4">
        <f>[1]TruckNumbers!R99</f>
        <v>0</v>
      </c>
      <c r="S96" s="4">
        <f>[1]TruckNumbers!S99</f>
        <v>0</v>
      </c>
      <c r="T96" s="4">
        <f>[1]TruckNumbers!T99</f>
        <v>0</v>
      </c>
      <c r="U96">
        <f>[1]TruckNumbers!U99</f>
        <v>0</v>
      </c>
      <c r="V96">
        <f>[1]TruckNumbers!V99</f>
        <v>0</v>
      </c>
      <c r="W96">
        <f>[1]TruckNumbers!W99</f>
        <v>0</v>
      </c>
      <c r="X96">
        <f>[1]TruckNumbers!X99</f>
        <v>0</v>
      </c>
    </row>
    <row r="97" spans="1:24" x14ac:dyDescent="0.2">
      <c r="A97">
        <f>[1]TruckNumbers!A100</f>
        <v>0</v>
      </c>
      <c r="B97">
        <f>[1]TruckNumbers!B100</f>
        <v>0</v>
      </c>
      <c r="C97" s="29">
        <f>[1]TruckNumbers!C100</f>
        <v>0</v>
      </c>
      <c r="D97" s="4">
        <f>[1]TruckNumbers!E100</f>
        <v>0</v>
      </c>
      <c r="E97" s="30">
        <f>[1]TruckNumbers!D100</f>
        <v>0</v>
      </c>
      <c r="F97" s="4">
        <f>[1]TruckNumbers!G100</f>
        <v>0</v>
      </c>
      <c r="G97">
        <f>[1]TruckNumbers!H100</f>
        <v>0</v>
      </c>
      <c r="H97" s="4">
        <f>[1]TruckNumbers!I100</f>
        <v>0</v>
      </c>
      <c r="I97" s="4">
        <f>[1]TruckNumbers!F100</f>
        <v>0</v>
      </c>
      <c r="J97" s="4">
        <f>[1]TruckNumbers!J100</f>
        <v>0</v>
      </c>
      <c r="K97" s="4">
        <f>[1]TruckNumbers!K100</f>
        <v>0</v>
      </c>
      <c r="L97" s="31">
        <f>[1]TruckNumbers!L100</f>
        <v>0</v>
      </c>
      <c r="M97">
        <f>[1]TruckNumbers!M100</f>
        <v>0</v>
      </c>
      <c r="N97">
        <f>[1]TruckNumbers!N100</f>
        <v>0</v>
      </c>
      <c r="O97" s="4">
        <f>[1]TruckNumbers!O100</f>
        <v>0</v>
      </c>
      <c r="P97" s="28">
        <f>[1]TruckNumbers!P100</f>
        <v>0</v>
      </c>
      <c r="Q97" s="4">
        <f>[1]TruckNumbers!Q100</f>
        <v>0</v>
      </c>
      <c r="R97" s="4">
        <f>[1]TruckNumbers!R100</f>
        <v>0</v>
      </c>
      <c r="S97" s="4">
        <f>[1]TruckNumbers!S100</f>
        <v>0</v>
      </c>
      <c r="T97" s="4">
        <f>[1]TruckNumbers!T100</f>
        <v>0</v>
      </c>
      <c r="U97">
        <f>[1]TruckNumbers!U100</f>
        <v>0</v>
      </c>
      <c r="V97">
        <f>[1]TruckNumbers!V100</f>
        <v>0</v>
      </c>
      <c r="W97">
        <f>[1]TruckNumbers!W100</f>
        <v>0</v>
      </c>
      <c r="X97">
        <f>[1]TruckNumbers!X100</f>
        <v>0</v>
      </c>
    </row>
    <row r="98" spans="1:24" x14ac:dyDescent="0.2">
      <c r="A98">
        <f>[1]TruckNumbers!A101</f>
        <v>0</v>
      </c>
      <c r="B98">
        <f>[1]TruckNumbers!B101</f>
        <v>0</v>
      </c>
      <c r="C98" s="29">
        <f>[1]TruckNumbers!C101</f>
        <v>0</v>
      </c>
      <c r="D98" s="4">
        <f>[1]TruckNumbers!E101</f>
        <v>0</v>
      </c>
      <c r="E98" s="30">
        <f>[1]TruckNumbers!D101</f>
        <v>0</v>
      </c>
      <c r="F98" s="4">
        <f>[1]TruckNumbers!G101</f>
        <v>0</v>
      </c>
      <c r="G98">
        <f>[1]TruckNumbers!H101</f>
        <v>0</v>
      </c>
      <c r="H98" s="4">
        <f>[1]TruckNumbers!I101</f>
        <v>0</v>
      </c>
      <c r="I98" s="4">
        <f>[1]TruckNumbers!F101</f>
        <v>0</v>
      </c>
      <c r="J98" s="4">
        <f>[1]TruckNumbers!J101</f>
        <v>0</v>
      </c>
      <c r="K98" s="4">
        <f>[1]TruckNumbers!K101</f>
        <v>0</v>
      </c>
      <c r="L98" s="31">
        <f>[1]TruckNumbers!L101</f>
        <v>0</v>
      </c>
      <c r="M98">
        <f>[1]TruckNumbers!M101</f>
        <v>0</v>
      </c>
      <c r="N98">
        <f>[1]TruckNumbers!N101</f>
        <v>0</v>
      </c>
      <c r="O98" s="4">
        <f>[1]TruckNumbers!O101</f>
        <v>0</v>
      </c>
      <c r="P98" s="28">
        <f>[1]TruckNumbers!P101</f>
        <v>0</v>
      </c>
      <c r="Q98" s="4">
        <f>[1]TruckNumbers!Q101</f>
        <v>0</v>
      </c>
      <c r="R98" s="4">
        <f>[1]TruckNumbers!R101</f>
        <v>0</v>
      </c>
      <c r="S98" s="4">
        <f>[1]TruckNumbers!S101</f>
        <v>0</v>
      </c>
      <c r="T98" s="4">
        <f>[1]TruckNumbers!T101</f>
        <v>0</v>
      </c>
      <c r="U98">
        <f>[1]TruckNumbers!U101</f>
        <v>0</v>
      </c>
      <c r="V98">
        <f>[1]TruckNumbers!V101</f>
        <v>0</v>
      </c>
      <c r="W98">
        <f>[1]TruckNumbers!W101</f>
        <v>0</v>
      </c>
      <c r="X98">
        <f>[1]TruckNumbers!X101</f>
        <v>0</v>
      </c>
    </row>
    <row r="99" spans="1:24" x14ac:dyDescent="0.2">
      <c r="A99">
        <f>[1]TruckNumbers!A102</f>
        <v>0</v>
      </c>
      <c r="B99">
        <f>[1]TruckNumbers!B102</f>
        <v>0</v>
      </c>
      <c r="C99" s="29">
        <f>[1]TruckNumbers!C102</f>
        <v>0</v>
      </c>
      <c r="D99" s="4">
        <f>[1]TruckNumbers!E102</f>
        <v>0</v>
      </c>
      <c r="E99" s="30">
        <f>[1]TruckNumbers!D102</f>
        <v>0</v>
      </c>
      <c r="F99" s="4">
        <f>[1]TruckNumbers!G102</f>
        <v>0</v>
      </c>
      <c r="G99">
        <f>[1]TruckNumbers!H102</f>
        <v>0</v>
      </c>
      <c r="H99" s="4">
        <f>[1]TruckNumbers!I102</f>
        <v>0</v>
      </c>
      <c r="I99" s="4">
        <f>[1]TruckNumbers!F102</f>
        <v>0</v>
      </c>
      <c r="J99" s="4">
        <f>[1]TruckNumbers!J102</f>
        <v>0</v>
      </c>
      <c r="K99" s="4">
        <f>[1]TruckNumbers!K102</f>
        <v>0</v>
      </c>
      <c r="L99" s="31">
        <f>[1]TruckNumbers!L102</f>
        <v>0</v>
      </c>
      <c r="M99">
        <f>[1]TruckNumbers!M102</f>
        <v>0</v>
      </c>
      <c r="N99">
        <f>[1]TruckNumbers!N102</f>
        <v>0</v>
      </c>
      <c r="O99" s="4">
        <f>[1]TruckNumbers!O102</f>
        <v>0</v>
      </c>
      <c r="P99" s="28">
        <f>[1]TruckNumbers!P102</f>
        <v>0</v>
      </c>
      <c r="Q99" s="4">
        <f>[1]TruckNumbers!Q102</f>
        <v>0</v>
      </c>
      <c r="R99" s="4">
        <f>[1]TruckNumbers!R102</f>
        <v>0</v>
      </c>
      <c r="S99" s="4">
        <f>[1]TruckNumbers!S102</f>
        <v>0</v>
      </c>
      <c r="T99" s="4">
        <f>[1]TruckNumbers!T102</f>
        <v>0</v>
      </c>
      <c r="U99">
        <f>[1]TruckNumbers!U102</f>
        <v>0</v>
      </c>
      <c r="V99">
        <f>[1]TruckNumbers!V102</f>
        <v>0</v>
      </c>
      <c r="W99">
        <f>[1]TruckNumbers!W102</f>
        <v>0</v>
      </c>
      <c r="X99">
        <f>[1]TruckNumbers!X102</f>
        <v>0</v>
      </c>
    </row>
    <row r="100" spans="1:24" x14ac:dyDescent="0.2">
      <c r="A100">
        <f>[1]TruckNumbers!A103</f>
        <v>0</v>
      </c>
      <c r="B100">
        <f>[1]TruckNumbers!B103</f>
        <v>0</v>
      </c>
      <c r="C100" s="29">
        <f>[1]TruckNumbers!C103</f>
        <v>0</v>
      </c>
      <c r="D100" s="4">
        <f>[1]TruckNumbers!E103</f>
        <v>0</v>
      </c>
      <c r="E100" s="30">
        <f>[1]TruckNumbers!D103</f>
        <v>0</v>
      </c>
      <c r="F100" s="4">
        <f>[1]TruckNumbers!G103</f>
        <v>0</v>
      </c>
      <c r="G100">
        <f>[1]TruckNumbers!H103</f>
        <v>0</v>
      </c>
      <c r="H100" s="4">
        <f>[1]TruckNumbers!I103</f>
        <v>0</v>
      </c>
      <c r="I100" s="4">
        <f>[1]TruckNumbers!F103</f>
        <v>0</v>
      </c>
      <c r="J100" s="4">
        <f>[1]TruckNumbers!J103</f>
        <v>0</v>
      </c>
      <c r="K100" s="4">
        <f>[1]TruckNumbers!K103</f>
        <v>0</v>
      </c>
      <c r="L100" s="31">
        <f>[1]TruckNumbers!L103</f>
        <v>0</v>
      </c>
      <c r="M100">
        <f>[1]TruckNumbers!M103</f>
        <v>0</v>
      </c>
      <c r="N100">
        <f>[1]TruckNumbers!N103</f>
        <v>0</v>
      </c>
      <c r="O100" s="4">
        <f>[1]TruckNumbers!O103</f>
        <v>0</v>
      </c>
      <c r="P100" s="28">
        <f>[1]TruckNumbers!P103</f>
        <v>0</v>
      </c>
      <c r="Q100" s="4">
        <f>[1]TruckNumbers!Q103</f>
        <v>0</v>
      </c>
      <c r="R100" s="4">
        <f>[1]TruckNumbers!R103</f>
        <v>0</v>
      </c>
      <c r="S100" s="4">
        <f>[1]TruckNumbers!S103</f>
        <v>0</v>
      </c>
      <c r="T100" s="4">
        <f>[1]TruckNumbers!T103</f>
        <v>0</v>
      </c>
      <c r="U100">
        <f>[1]TruckNumbers!U103</f>
        <v>0</v>
      </c>
      <c r="V100">
        <f>[1]TruckNumbers!V103</f>
        <v>0</v>
      </c>
      <c r="W100">
        <f>[1]TruckNumbers!W103</f>
        <v>0</v>
      </c>
      <c r="X100">
        <f>[1]TruckNumbers!X103</f>
        <v>0</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4F73A-74A6-734E-B20C-76662F69D3F3}">
  <dimension ref="A1:U721"/>
  <sheetViews>
    <sheetView workbookViewId="0">
      <selection activeCell="O26" sqref="O26"/>
    </sheetView>
  </sheetViews>
  <sheetFormatPr baseColWidth="10" defaultRowHeight="16" x14ac:dyDescent="0.2"/>
  <cols>
    <col min="1" max="1" width="46.6640625" bestFit="1" customWidth="1"/>
    <col min="2" max="2" width="49.6640625" bestFit="1" customWidth="1"/>
    <col min="3" max="3" width="8.1640625" bestFit="1" customWidth="1"/>
    <col min="4" max="4" width="28.5" bestFit="1" customWidth="1"/>
    <col min="6" max="6" width="2.83203125" bestFit="1" customWidth="1"/>
    <col min="7" max="7" width="18" bestFit="1" customWidth="1"/>
    <col min="8" max="8" width="18" customWidth="1"/>
    <col min="12" max="12" width="12.83203125" bestFit="1" customWidth="1"/>
    <col min="13" max="13" width="63.5" bestFit="1" customWidth="1"/>
    <col min="14" max="14" width="12.83203125" bestFit="1" customWidth="1"/>
    <col min="15" max="15" width="28.5" bestFit="1" customWidth="1"/>
    <col min="16" max="16" width="2" bestFit="1" customWidth="1"/>
    <col min="17" max="17" width="2.83203125" bestFit="1" customWidth="1"/>
    <col min="18" max="18" width="18" bestFit="1" customWidth="1"/>
  </cols>
  <sheetData>
    <row r="1" spans="1:21" x14ac:dyDescent="0.2">
      <c r="A1" t="s">
        <v>17</v>
      </c>
      <c r="J1" t="s">
        <v>47</v>
      </c>
      <c r="K1" t="s">
        <v>18</v>
      </c>
      <c r="L1" s="3" t="s">
        <v>0</v>
      </c>
      <c r="M1" t="s">
        <v>1</v>
      </c>
      <c r="N1" s="17" t="s">
        <v>2</v>
      </c>
      <c r="O1" t="s">
        <v>3</v>
      </c>
      <c r="P1" t="s">
        <v>4</v>
      </c>
      <c r="Q1" t="s">
        <v>5</v>
      </c>
      <c r="R1" s="2" t="s">
        <v>6</v>
      </c>
      <c r="U1" t="s">
        <v>86</v>
      </c>
    </row>
    <row r="2" spans="1:21" x14ac:dyDescent="0.2">
      <c r="A2" s="6" t="s">
        <v>152</v>
      </c>
      <c r="H2" s="7" t="str">
        <f>LEFT(B2,6)</f>
        <v/>
      </c>
      <c r="I2" s="8">
        <f>VLOOKUP(H2,$K$2:$N$70,4,FALSE)</f>
        <v>0</v>
      </c>
      <c r="J2" s="8">
        <f t="shared" ref="J2:J3" si="0">IF(ISNA(I2),C2,0)</f>
        <v>0</v>
      </c>
      <c r="K2" s="7" t="str">
        <f>LEFT(M2,6)</f>
        <v>Amazon</v>
      </c>
      <c r="L2" s="6">
        <v>45281</v>
      </c>
      <c r="M2" s="7" t="s">
        <v>140</v>
      </c>
      <c r="N2" s="7">
        <v>-32.119998931884702</v>
      </c>
      <c r="O2" s="7" t="s">
        <v>109</v>
      </c>
      <c r="P2" s="7"/>
      <c r="Q2" s="7"/>
      <c r="R2" s="7" t="s">
        <v>105</v>
      </c>
      <c r="U2" t="str">
        <f>IF(C2&lt;0,C2,"")</f>
        <v/>
      </c>
    </row>
    <row r="3" spans="1:21" x14ac:dyDescent="0.2">
      <c r="A3" s="6" t="s">
        <v>153</v>
      </c>
      <c r="H3" s="7" t="str">
        <f t="shared" ref="H3:H19" si="1">LEFT(B3,6)</f>
        <v/>
      </c>
      <c r="I3" s="8">
        <f t="shared" ref="I3:I11" si="2">VLOOKUP(H3,$K$2:$N$70,4,FALSE)</f>
        <v>0</v>
      </c>
      <c r="J3" s="8">
        <f t="shared" si="0"/>
        <v>0</v>
      </c>
      <c r="K3" s="7" t="str">
        <f t="shared" ref="K3:K66" si="3">LEFT(M3,6)</f>
        <v>WWP*CL</v>
      </c>
      <c r="L3" s="6">
        <v>45281</v>
      </c>
      <c r="M3" s="7" t="s">
        <v>131</v>
      </c>
      <c r="N3" s="7">
        <v>-180</v>
      </c>
      <c r="O3" s="7" t="s">
        <v>109</v>
      </c>
      <c r="P3" s="7"/>
      <c r="Q3" s="7"/>
      <c r="R3" s="7" t="s">
        <v>105</v>
      </c>
      <c r="U3" t="str">
        <f t="shared" ref="U3" si="4">IF(C3&lt;0,C3,"")</f>
        <v/>
      </c>
    </row>
    <row r="4" spans="1:21" x14ac:dyDescent="0.2">
      <c r="A4" s="6" t="s">
        <v>154</v>
      </c>
      <c r="H4" s="7" t="str">
        <f t="shared" si="1"/>
        <v/>
      </c>
      <c r="I4" s="8">
        <f t="shared" si="2"/>
        <v>0</v>
      </c>
      <c r="J4" s="8">
        <f>IF(ISNA(#REF!),#REF!,0)</f>
        <v>0</v>
      </c>
      <c r="K4" s="7" t="str">
        <f t="shared" si="3"/>
        <v>APPLE.</v>
      </c>
      <c r="L4" s="6">
        <v>45282</v>
      </c>
      <c r="M4" s="7" t="s">
        <v>116</v>
      </c>
      <c r="N4" s="7">
        <v>-10.9899997711181</v>
      </c>
      <c r="O4" s="7" t="s">
        <v>108</v>
      </c>
      <c r="P4" s="7"/>
      <c r="Q4" s="7" t="s">
        <v>103</v>
      </c>
      <c r="R4" s="7" t="s">
        <v>105</v>
      </c>
      <c r="U4" s="18">
        <v>0</v>
      </c>
    </row>
    <row r="5" spans="1:21" x14ac:dyDescent="0.2">
      <c r="A5" s="6" t="s">
        <v>155</v>
      </c>
      <c r="H5" s="7" t="str">
        <f t="shared" si="1"/>
        <v/>
      </c>
      <c r="I5" s="8">
        <f t="shared" si="2"/>
        <v>0</v>
      </c>
      <c r="J5" s="8">
        <f>IF(ISNA(I4),#REF!,0)</f>
        <v>0</v>
      </c>
      <c r="K5" s="7" t="str">
        <f t="shared" si="3"/>
        <v>CarMax</v>
      </c>
      <c r="L5" s="6">
        <v>45282</v>
      </c>
      <c r="M5" s="7" t="s">
        <v>141</v>
      </c>
      <c r="N5" s="7">
        <v>-297.33999633789</v>
      </c>
      <c r="O5" s="7" t="s">
        <v>123</v>
      </c>
      <c r="P5" s="7"/>
      <c r="Q5" s="7" t="s">
        <v>103</v>
      </c>
      <c r="R5" s="7" t="s">
        <v>104</v>
      </c>
      <c r="U5" t="str">
        <f t="shared" ref="U5:U12" si="5">IF(C4&lt;0,C4,"")</f>
        <v/>
      </c>
    </row>
    <row r="6" spans="1:21" x14ac:dyDescent="0.2">
      <c r="A6" s="6" t="s">
        <v>156</v>
      </c>
      <c r="H6" s="7" t="str">
        <f t="shared" si="1"/>
        <v/>
      </c>
      <c r="I6" s="8">
        <f t="shared" si="2"/>
        <v>0</v>
      </c>
      <c r="J6" s="8">
        <f>IF(ISNA(I5),#REF!,0)</f>
        <v>0</v>
      </c>
      <c r="K6" s="7" t="str">
        <f t="shared" si="3"/>
        <v>24 SEV</v>
      </c>
      <c r="L6" s="6">
        <v>45283</v>
      </c>
      <c r="M6" s="7" t="s">
        <v>133</v>
      </c>
      <c r="N6" s="7">
        <v>-5.9800000190734801</v>
      </c>
      <c r="O6" s="7" t="s">
        <v>106</v>
      </c>
      <c r="P6" s="7"/>
      <c r="Q6" s="7"/>
      <c r="R6" s="7" t="s">
        <v>105</v>
      </c>
      <c r="U6" t="str">
        <f t="shared" si="5"/>
        <v/>
      </c>
    </row>
    <row r="7" spans="1:21" x14ac:dyDescent="0.2">
      <c r="A7" s="6" t="s">
        <v>157</v>
      </c>
      <c r="H7" s="7" t="str">
        <f t="shared" si="1"/>
        <v/>
      </c>
      <c r="I7" s="8">
        <f t="shared" si="2"/>
        <v>0</v>
      </c>
      <c r="J7" s="8">
        <f t="shared" ref="J7:J14" si="6">IF(ISNA(I6),C4,0)</f>
        <v>0</v>
      </c>
      <c r="K7" s="7" t="str">
        <f t="shared" si="3"/>
        <v>JACK I</v>
      </c>
      <c r="L7" s="6">
        <v>45283</v>
      </c>
      <c r="M7" s="7" t="s">
        <v>142</v>
      </c>
      <c r="N7" s="7">
        <v>-13.2600002288818</v>
      </c>
      <c r="O7" s="7" t="s">
        <v>107</v>
      </c>
      <c r="P7" s="7"/>
      <c r="Q7" s="7"/>
      <c r="R7" s="7" t="s">
        <v>105</v>
      </c>
      <c r="U7" t="str">
        <f t="shared" si="5"/>
        <v/>
      </c>
    </row>
    <row r="8" spans="1:21" x14ac:dyDescent="0.2">
      <c r="A8" s="6" t="s">
        <v>158</v>
      </c>
      <c r="H8" s="7" t="str">
        <f t="shared" si="1"/>
        <v/>
      </c>
      <c r="I8" s="8">
        <f t="shared" si="2"/>
        <v>0</v>
      </c>
      <c r="J8" s="8">
        <f t="shared" si="6"/>
        <v>0</v>
      </c>
      <c r="K8" s="7" t="str">
        <f t="shared" si="3"/>
        <v xml:space="preserve">Prime </v>
      </c>
      <c r="L8" s="6">
        <v>45283</v>
      </c>
      <c r="M8" s="7" t="s">
        <v>143</v>
      </c>
      <c r="N8" s="7">
        <v>-5.9899997711181596</v>
      </c>
      <c r="O8" s="7" t="s">
        <v>136</v>
      </c>
      <c r="P8" s="7"/>
      <c r="Q8" s="7"/>
      <c r="R8" s="7" t="s">
        <v>105</v>
      </c>
      <c r="U8" t="str">
        <f t="shared" si="5"/>
        <v/>
      </c>
    </row>
    <row r="9" spans="1:21" x14ac:dyDescent="0.2">
      <c r="A9" s="6" t="s">
        <v>159</v>
      </c>
      <c r="H9" s="7" t="str">
        <f t="shared" si="1"/>
        <v/>
      </c>
      <c r="I9" s="8">
        <f t="shared" si="2"/>
        <v>0</v>
      </c>
      <c r="J9" s="8">
        <f t="shared" si="6"/>
        <v>0</v>
      </c>
      <c r="K9" s="7" t="str">
        <f t="shared" si="3"/>
        <v>SMITH'</v>
      </c>
      <c r="L9" s="6">
        <v>45283</v>
      </c>
      <c r="M9" s="7" t="s">
        <v>132</v>
      </c>
      <c r="N9" s="7">
        <v>-19.329999923706001</v>
      </c>
      <c r="O9" s="7" t="s">
        <v>106</v>
      </c>
      <c r="P9" s="7"/>
      <c r="Q9" s="7"/>
      <c r="R9" s="7" t="s">
        <v>105</v>
      </c>
      <c r="U9" t="str">
        <f t="shared" si="5"/>
        <v/>
      </c>
    </row>
    <row r="10" spans="1:21" x14ac:dyDescent="0.2">
      <c r="A10" s="6" t="s">
        <v>160</v>
      </c>
      <c r="H10" s="7" t="str">
        <f t="shared" si="1"/>
        <v/>
      </c>
      <c r="I10" s="8">
        <f t="shared" si="2"/>
        <v>0</v>
      </c>
      <c r="J10" s="8">
        <f t="shared" si="6"/>
        <v>0</v>
      </c>
      <c r="K10" s="7" t="str">
        <f t="shared" si="3"/>
        <v>CHEVRO</v>
      </c>
      <c r="L10" s="6">
        <v>45284</v>
      </c>
      <c r="M10" s="7" t="s">
        <v>137</v>
      </c>
      <c r="N10" s="7">
        <v>-75</v>
      </c>
      <c r="O10" s="7" t="s">
        <v>111</v>
      </c>
      <c r="P10" s="7"/>
      <c r="Q10" s="7"/>
      <c r="R10" s="7" t="s">
        <v>105</v>
      </c>
      <c r="U10" t="str">
        <f t="shared" si="5"/>
        <v/>
      </c>
    </row>
    <row r="11" spans="1:21" x14ac:dyDescent="0.2">
      <c r="A11" s="6" t="s">
        <v>161</v>
      </c>
      <c r="H11" s="7" t="str">
        <f t="shared" si="1"/>
        <v/>
      </c>
      <c r="I11" s="8">
        <f t="shared" si="2"/>
        <v>0</v>
      </c>
      <c r="J11" s="8">
        <f t="shared" si="6"/>
        <v>0</v>
      </c>
      <c r="K11" s="7" t="str">
        <f t="shared" si="3"/>
        <v>24 SEV</v>
      </c>
      <c r="L11" s="6">
        <v>45286</v>
      </c>
      <c r="M11" s="7" t="s">
        <v>133</v>
      </c>
      <c r="N11" s="7">
        <v>-3.1900000572204501</v>
      </c>
      <c r="O11" s="7" t="s">
        <v>106</v>
      </c>
      <c r="P11" s="7"/>
      <c r="Q11" s="7"/>
      <c r="R11" s="7" t="s">
        <v>105</v>
      </c>
      <c r="U11" t="str">
        <f t="shared" si="5"/>
        <v/>
      </c>
    </row>
    <row r="12" spans="1:21" x14ac:dyDescent="0.2">
      <c r="A12" s="6" t="s">
        <v>162</v>
      </c>
      <c r="H12" s="7" t="str">
        <f t="shared" si="1"/>
        <v/>
      </c>
      <c r="I12" s="8" t="e">
        <f>VLOOKUP(#REF!,$K$2:$N$70,4,FALSE)</f>
        <v>#REF!</v>
      </c>
      <c r="J12" s="8">
        <f t="shared" si="6"/>
        <v>0</v>
      </c>
      <c r="K12" s="7" t="str">
        <f t="shared" si="3"/>
        <v>FTDC M</v>
      </c>
      <c r="L12" s="6">
        <v>45286</v>
      </c>
      <c r="M12" s="7" t="s">
        <v>144</v>
      </c>
      <c r="N12" s="7">
        <v>-6</v>
      </c>
      <c r="O12" s="7" t="s">
        <v>110</v>
      </c>
      <c r="P12" s="7"/>
      <c r="Q12" s="7"/>
      <c r="R12" s="7" t="s">
        <v>105</v>
      </c>
      <c r="U12" t="str">
        <f t="shared" si="5"/>
        <v/>
      </c>
    </row>
    <row r="13" spans="1:21" x14ac:dyDescent="0.2">
      <c r="A13" s="6" t="s">
        <v>163</v>
      </c>
      <c r="H13" s="7" t="str">
        <f t="shared" si="1"/>
        <v/>
      </c>
      <c r="I13" s="8">
        <f>VLOOKUP(H12,$K$2:$N$70,4,FALSE)</f>
        <v>0</v>
      </c>
      <c r="J13" s="8">
        <f t="shared" si="6"/>
        <v>0</v>
      </c>
      <c r="K13" s="7" t="str">
        <f t="shared" si="3"/>
        <v>TACO B</v>
      </c>
      <c r="L13" s="6">
        <v>45286</v>
      </c>
      <c r="M13" s="7" t="s">
        <v>145</v>
      </c>
      <c r="N13" s="7">
        <v>-9.67000007629394</v>
      </c>
      <c r="O13" s="7" t="s">
        <v>107</v>
      </c>
      <c r="P13" s="7"/>
      <c r="Q13" s="7"/>
      <c r="R13" s="7" t="s">
        <v>105</v>
      </c>
      <c r="U13" t="e">
        <f>IF(#REF!&lt;0,#REF!,"")</f>
        <v>#REF!</v>
      </c>
    </row>
    <row r="14" spans="1:21" x14ac:dyDescent="0.2">
      <c r="A14" s="6"/>
      <c r="H14" s="7" t="str">
        <f t="shared" si="1"/>
        <v/>
      </c>
      <c r="I14" s="8" t="e">
        <f>VLOOKUP(#REF!,$K$2:$N$70,4,FALSE)</f>
        <v>#REF!</v>
      </c>
      <c r="J14" s="8">
        <f t="shared" si="6"/>
        <v>0</v>
      </c>
      <c r="K14" s="7" t="str">
        <f t="shared" si="3"/>
        <v>APPLE.</v>
      </c>
      <c r="L14" s="6">
        <v>45287</v>
      </c>
      <c r="M14" s="7" t="s">
        <v>116</v>
      </c>
      <c r="N14" s="7">
        <v>-2.9900000095367401</v>
      </c>
      <c r="O14" s="7" t="s">
        <v>108</v>
      </c>
      <c r="P14" s="7"/>
      <c r="Q14" s="7" t="s">
        <v>103</v>
      </c>
      <c r="R14" s="7" t="s">
        <v>105</v>
      </c>
      <c r="U14" t="str">
        <f>IF(C12&lt;0,C12,"")</f>
        <v/>
      </c>
    </row>
    <row r="15" spans="1:21" x14ac:dyDescent="0.2">
      <c r="A15" s="6"/>
      <c r="H15" s="7" t="str">
        <f t="shared" si="1"/>
        <v/>
      </c>
      <c r="I15" s="8">
        <f>VLOOKUP(H14,$K$2:$N$70,4,FALSE)</f>
        <v>0</v>
      </c>
      <c r="J15" s="8">
        <f>IF(ISNA(#REF!),#REF!,0)</f>
        <v>0</v>
      </c>
      <c r="K15" s="7" t="str">
        <f t="shared" si="3"/>
        <v>FREE S</v>
      </c>
      <c r="L15" s="6">
        <v>45287</v>
      </c>
      <c r="M15" s="7" t="s">
        <v>129</v>
      </c>
      <c r="N15" s="7">
        <v>-10</v>
      </c>
      <c r="O15" s="7" t="s">
        <v>114</v>
      </c>
      <c r="P15" s="7"/>
      <c r="Q15" s="7"/>
      <c r="R15" s="7" t="s">
        <v>105</v>
      </c>
      <c r="U15" t="str">
        <f>IF(C13&lt;0,C13,"")</f>
        <v/>
      </c>
    </row>
    <row r="16" spans="1:21" x14ac:dyDescent="0.2">
      <c r="A16" s="6"/>
      <c r="H16" s="7" t="str">
        <f t="shared" ref="H16:H17" si="7">LEFT(B16,6)</f>
        <v/>
      </c>
      <c r="I16" s="8" t="e">
        <f>VLOOKUP(#REF!,$K$2:$N$70,4,FALSE)</f>
        <v>#REF!</v>
      </c>
      <c r="J16" s="8">
        <f>IF(ISNA(I14),C12,0)</f>
        <v>0</v>
      </c>
      <c r="K16" s="7" t="str">
        <f t="shared" si="3"/>
        <v>SBI 12</v>
      </c>
      <c r="L16" s="6">
        <v>45287</v>
      </c>
      <c r="M16" s="7" t="s">
        <v>146</v>
      </c>
      <c r="N16" s="7">
        <v>80.769996643066406</v>
      </c>
      <c r="O16" s="7"/>
      <c r="P16" s="7"/>
      <c r="Q16" s="7"/>
      <c r="R16" s="7" t="s">
        <v>104</v>
      </c>
      <c r="U16" t="e">
        <f>IF(#REF!&lt;0,#REF!,"")</f>
        <v>#REF!</v>
      </c>
    </row>
    <row r="17" spans="1:21" x14ac:dyDescent="0.2">
      <c r="A17" s="6"/>
      <c r="H17" s="7" t="str">
        <f t="shared" si="7"/>
        <v/>
      </c>
      <c r="I17" s="8">
        <f t="shared" ref="I17:I48" si="8">VLOOKUP(H16,$K$2:$N$70,4,FALSE)</f>
        <v>0</v>
      </c>
      <c r="J17" s="8">
        <f>IF(ISNA(I15),C13,0)</f>
        <v>0</v>
      </c>
      <c r="K17" s="7" t="str">
        <f t="shared" si="3"/>
        <v>Spectr</v>
      </c>
      <c r="L17" s="6">
        <v>45287</v>
      </c>
      <c r="M17" s="7" t="s">
        <v>130</v>
      </c>
      <c r="N17" s="7">
        <v>-109.980003356933</v>
      </c>
      <c r="O17" s="7" t="s">
        <v>115</v>
      </c>
      <c r="P17" s="7"/>
      <c r="Q17" s="7" t="s">
        <v>103</v>
      </c>
      <c r="R17" s="7" t="s">
        <v>105</v>
      </c>
      <c r="U17" t="str">
        <f>IF(C14&lt;0,C14,"")</f>
        <v/>
      </c>
    </row>
    <row r="18" spans="1:21" x14ac:dyDescent="0.2">
      <c r="A18" s="6"/>
      <c r="H18" s="7" t="str">
        <f t="shared" si="1"/>
        <v/>
      </c>
      <c r="I18" s="8">
        <f t="shared" si="8"/>
        <v>0</v>
      </c>
      <c r="J18" s="8">
        <f>IF(ISNA(#REF!),#REF!,0)</f>
        <v>0</v>
      </c>
      <c r="K18" s="7" t="str">
        <f t="shared" si="3"/>
        <v>Spectr</v>
      </c>
      <c r="L18" s="6">
        <v>45287</v>
      </c>
      <c r="M18" s="7" t="s">
        <v>130</v>
      </c>
      <c r="N18" s="7">
        <v>-45</v>
      </c>
      <c r="O18" s="7" t="s">
        <v>115</v>
      </c>
      <c r="P18" s="7"/>
      <c r="Q18" s="7" t="s">
        <v>103</v>
      </c>
      <c r="R18" s="7" t="s">
        <v>105</v>
      </c>
      <c r="U18" t="str">
        <f>IF(C15&lt;0,C15,"")</f>
        <v/>
      </c>
    </row>
    <row r="19" spans="1:21" x14ac:dyDescent="0.2">
      <c r="A19" s="6"/>
      <c r="H19" s="7" t="str">
        <f t="shared" si="1"/>
        <v/>
      </c>
      <c r="I19" s="8">
        <f t="shared" si="8"/>
        <v>0</v>
      </c>
      <c r="J19" s="8">
        <f>IF(ISNA(I16),C14,0)</f>
        <v>0</v>
      </c>
      <c r="K19" s="7" t="str">
        <f t="shared" si="3"/>
        <v>USPS P</v>
      </c>
      <c r="L19" s="6">
        <v>45287</v>
      </c>
      <c r="M19" s="7" t="s">
        <v>147</v>
      </c>
      <c r="N19" s="7">
        <v>-13.199999809265099</v>
      </c>
      <c r="O19" s="7" t="s">
        <v>109</v>
      </c>
      <c r="P19" s="7"/>
      <c r="Q19" s="7"/>
      <c r="R19" s="7" t="s">
        <v>105</v>
      </c>
      <c r="U19" s="18">
        <v>0</v>
      </c>
    </row>
    <row r="20" spans="1:21" x14ac:dyDescent="0.2">
      <c r="A20" s="6"/>
      <c r="H20" s="7"/>
      <c r="I20" s="8">
        <f t="shared" si="8"/>
        <v>0</v>
      </c>
      <c r="J20" s="8">
        <f>IF(ISNA(I17),C15,0)</f>
        <v>0</v>
      </c>
      <c r="K20" s="7" t="str">
        <f t="shared" si="3"/>
        <v xml:space="preserve">AETNA </v>
      </c>
      <c r="L20" s="6">
        <v>45288</v>
      </c>
      <c r="M20" s="7" t="s">
        <v>148</v>
      </c>
      <c r="N20" s="7">
        <v>-2.7999999523162802</v>
      </c>
      <c r="O20" s="7" t="s">
        <v>113</v>
      </c>
      <c r="P20" s="7"/>
      <c r="Q20" s="7"/>
      <c r="R20" s="7" t="s">
        <v>104</v>
      </c>
      <c r="U20" t="str">
        <f t="shared" ref="U20:U47" si="9">IF(C16&lt;0,C16,"")</f>
        <v/>
      </c>
    </row>
    <row r="21" spans="1:21" x14ac:dyDescent="0.2">
      <c r="A21" s="6"/>
      <c r="H21" s="7"/>
      <c r="I21" s="8" t="e">
        <f t="shared" si="8"/>
        <v>#N/A</v>
      </c>
      <c r="J21" s="8">
        <f>IF(ISNA(I18),#REF!,0)</f>
        <v>0</v>
      </c>
      <c r="K21" s="7" t="str">
        <f t="shared" si="3"/>
        <v>GAINWE</v>
      </c>
      <c r="L21" s="6">
        <v>45288</v>
      </c>
      <c r="M21" s="7" t="s">
        <v>149</v>
      </c>
      <c r="N21" s="7">
        <v>2405.39990234375</v>
      </c>
      <c r="O21" s="7" t="s">
        <v>48</v>
      </c>
      <c r="P21" s="7"/>
      <c r="Q21" s="7"/>
      <c r="R21" s="7" t="s">
        <v>104</v>
      </c>
      <c r="U21" t="str">
        <f t="shared" si="9"/>
        <v/>
      </c>
    </row>
    <row r="22" spans="1:21" x14ac:dyDescent="0.2">
      <c r="A22" s="6"/>
      <c r="B22" s="7"/>
      <c r="C22" s="7"/>
      <c r="D22" s="7"/>
      <c r="E22" s="7"/>
      <c r="F22" s="7"/>
      <c r="G22" s="7"/>
      <c r="H22" s="7"/>
      <c r="I22" s="8" t="e">
        <f t="shared" si="8"/>
        <v>#N/A</v>
      </c>
      <c r="J22" s="8">
        <f t="shared" ref="J22:J53" si="10">IF(ISNA(I19),C16,0)</f>
        <v>0</v>
      </c>
      <c r="K22" s="7" t="str">
        <f t="shared" si="3"/>
        <v xml:space="preserve">ADOBE </v>
      </c>
      <c r="L22" s="6">
        <v>45289</v>
      </c>
      <c r="M22" s="7" t="s">
        <v>134</v>
      </c>
      <c r="N22" s="7">
        <v>-19.9899997711181</v>
      </c>
      <c r="O22" s="7" t="s">
        <v>108</v>
      </c>
      <c r="P22" s="7"/>
      <c r="Q22" s="7" t="s">
        <v>103</v>
      </c>
      <c r="R22" s="7" t="s">
        <v>104</v>
      </c>
      <c r="U22" t="str">
        <f t="shared" si="9"/>
        <v/>
      </c>
    </row>
    <row r="23" spans="1:21" x14ac:dyDescent="0.2">
      <c r="A23" s="6"/>
      <c r="B23" s="7"/>
      <c r="C23" s="7"/>
      <c r="D23" s="7"/>
      <c r="E23" s="7"/>
      <c r="F23" s="7"/>
      <c r="G23" s="7"/>
      <c r="H23" s="7"/>
      <c r="I23" s="8" t="e">
        <f t="shared" si="8"/>
        <v>#N/A</v>
      </c>
      <c r="J23" s="8">
        <f t="shared" si="10"/>
        <v>0</v>
      </c>
      <c r="K23" s="7" t="str">
        <f t="shared" si="3"/>
        <v>Amazon</v>
      </c>
      <c r="L23" s="6">
        <v>45289</v>
      </c>
      <c r="M23" s="7" t="s">
        <v>150</v>
      </c>
      <c r="N23" s="7">
        <v>-14.9899997711181</v>
      </c>
      <c r="O23" s="7" t="s">
        <v>108</v>
      </c>
      <c r="P23" s="7"/>
      <c r="Q23" s="7" t="s">
        <v>103</v>
      </c>
      <c r="R23" s="7" t="s">
        <v>105</v>
      </c>
      <c r="U23" t="str">
        <f t="shared" si="9"/>
        <v/>
      </c>
    </row>
    <row r="24" spans="1:21" x14ac:dyDescent="0.2">
      <c r="A24" s="6"/>
      <c r="B24" s="7"/>
      <c r="C24" s="7"/>
      <c r="D24" s="7"/>
      <c r="E24" s="7"/>
      <c r="F24" s="7"/>
      <c r="G24" s="7"/>
      <c r="H24" s="7"/>
      <c r="I24" s="8" t="e">
        <f t="shared" si="8"/>
        <v>#N/A</v>
      </c>
      <c r="J24" s="8">
        <f t="shared" si="10"/>
        <v>0</v>
      </c>
      <c r="K24" s="7" t="str">
        <f t="shared" si="3"/>
        <v>NETFLI</v>
      </c>
      <c r="L24" s="6">
        <v>45289</v>
      </c>
      <c r="M24" s="7" t="s">
        <v>135</v>
      </c>
      <c r="N24" s="7">
        <v>-15.4899997711181</v>
      </c>
      <c r="O24" s="7" t="s">
        <v>110</v>
      </c>
      <c r="P24" s="7"/>
      <c r="Q24" s="7"/>
      <c r="R24" s="7" t="s">
        <v>105</v>
      </c>
      <c r="U24" t="str">
        <f t="shared" si="9"/>
        <v/>
      </c>
    </row>
    <row r="25" spans="1:21" x14ac:dyDescent="0.2">
      <c r="A25" s="6"/>
      <c r="B25" s="7"/>
      <c r="C25" s="7"/>
      <c r="D25" s="7"/>
      <c r="E25" s="7"/>
      <c r="F25" s="7"/>
      <c r="G25" s="7"/>
      <c r="H25" s="7"/>
      <c r="I25" s="8" t="e">
        <f t="shared" si="8"/>
        <v>#N/A</v>
      </c>
      <c r="J25" s="8">
        <f t="shared" si="10"/>
        <v>0</v>
      </c>
      <c r="K25" s="7" t="str">
        <f t="shared" si="3"/>
        <v>ATM 12</v>
      </c>
      <c r="L25" s="6">
        <v>45291</v>
      </c>
      <c r="M25" s="7" t="s">
        <v>151</v>
      </c>
      <c r="N25" s="7">
        <v>-223.5</v>
      </c>
      <c r="O25" s="7" t="s">
        <v>126</v>
      </c>
      <c r="P25" s="7"/>
      <c r="Q25" s="7"/>
      <c r="R25" s="7" t="s">
        <v>104</v>
      </c>
      <c r="U25" t="str">
        <f t="shared" si="9"/>
        <v/>
      </c>
    </row>
    <row r="26" spans="1:21" x14ac:dyDescent="0.2">
      <c r="A26" s="6"/>
      <c r="B26" s="7"/>
      <c r="C26" s="7"/>
      <c r="D26" s="7"/>
      <c r="E26" s="7"/>
      <c r="F26" s="7"/>
      <c r="G26" s="7"/>
      <c r="H26" s="7"/>
      <c r="I26" s="8" t="e">
        <f t="shared" si="8"/>
        <v>#N/A</v>
      </c>
      <c r="J26" s="8">
        <f t="shared" si="10"/>
        <v>0</v>
      </c>
      <c r="K26" s="7" t="str">
        <f t="shared" si="3"/>
        <v>DIVIDE</v>
      </c>
      <c r="L26" s="6">
        <v>45291</v>
      </c>
      <c r="M26" s="7" t="s">
        <v>127</v>
      </c>
      <c r="N26" s="7">
        <v>1.1399999856948799</v>
      </c>
      <c r="O26" s="7" t="s">
        <v>48</v>
      </c>
      <c r="P26" s="7"/>
      <c r="Q26" s="7"/>
      <c r="R26" s="7" t="s">
        <v>104</v>
      </c>
      <c r="U26" t="str">
        <f t="shared" si="9"/>
        <v/>
      </c>
    </row>
    <row r="27" spans="1:21" x14ac:dyDescent="0.2">
      <c r="A27" s="6"/>
      <c r="B27" s="7"/>
      <c r="C27" s="7"/>
      <c r="D27" s="7"/>
      <c r="E27" s="7"/>
      <c r="F27" s="7"/>
      <c r="G27" s="7"/>
      <c r="H27" s="7"/>
      <c r="I27" s="8" t="e">
        <f t="shared" si="8"/>
        <v>#N/A</v>
      </c>
      <c r="J27" s="8">
        <f t="shared" si="10"/>
        <v>0</v>
      </c>
      <c r="K27" s="7" t="str">
        <f t="shared" si="3"/>
        <v/>
      </c>
      <c r="L27" s="6"/>
      <c r="M27" s="7"/>
      <c r="N27" s="7"/>
      <c r="O27" s="7"/>
      <c r="P27" s="7"/>
      <c r="Q27" s="7"/>
      <c r="R27" s="7"/>
      <c r="U27" t="str">
        <f t="shared" si="9"/>
        <v/>
      </c>
    </row>
    <row r="28" spans="1:21" x14ac:dyDescent="0.2">
      <c r="A28" s="6"/>
      <c r="B28" s="7"/>
      <c r="C28" s="7"/>
      <c r="D28" s="7"/>
      <c r="E28" s="7"/>
      <c r="F28" s="7"/>
      <c r="G28" s="7"/>
      <c r="H28" s="7"/>
      <c r="I28" s="8" t="e">
        <f t="shared" si="8"/>
        <v>#N/A</v>
      </c>
      <c r="J28" s="8">
        <f t="shared" si="10"/>
        <v>0</v>
      </c>
      <c r="K28" s="7" t="str">
        <f t="shared" si="3"/>
        <v/>
      </c>
      <c r="L28" s="6"/>
      <c r="M28" s="7"/>
      <c r="N28" s="7"/>
      <c r="O28" s="7"/>
      <c r="P28" s="7"/>
      <c r="Q28" s="7"/>
      <c r="R28" s="7"/>
      <c r="U28" t="str">
        <f t="shared" si="9"/>
        <v/>
      </c>
    </row>
    <row r="29" spans="1:21" x14ac:dyDescent="0.2">
      <c r="A29" s="6"/>
      <c r="B29" s="7"/>
      <c r="C29" s="7"/>
      <c r="D29" s="7"/>
      <c r="E29" s="7"/>
      <c r="F29" s="7"/>
      <c r="G29" s="7"/>
      <c r="H29" s="7"/>
      <c r="I29" s="8" t="e">
        <f t="shared" si="8"/>
        <v>#N/A</v>
      </c>
      <c r="J29" s="8">
        <f t="shared" si="10"/>
        <v>0</v>
      </c>
      <c r="K29" s="7" t="str">
        <f t="shared" si="3"/>
        <v/>
      </c>
      <c r="L29" s="6"/>
      <c r="M29" s="7"/>
      <c r="N29" s="7"/>
      <c r="O29" s="7"/>
      <c r="P29" s="7"/>
      <c r="Q29" s="7"/>
      <c r="R29" s="7"/>
      <c r="U29" t="str">
        <f t="shared" si="9"/>
        <v/>
      </c>
    </row>
    <row r="30" spans="1:21" x14ac:dyDescent="0.2">
      <c r="A30" s="6"/>
      <c r="B30" s="7"/>
      <c r="C30" s="7"/>
      <c r="D30" s="7"/>
      <c r="E30" s="7"/>
      <c r="F30" s="7"/>
      <c r="G30" s="7"/>
      <c r="H30" s="7"/>
      <c r="I30" s="8" t="e">
        <f t="shared" si="8"/>
        <v>#N/A</v>
      </c>
      <c r="J30" s="8">
        <f t="shared" si="10"/>
        <v>0</v>
      </c>
      <c r="K30" s="7" t="str">
        <f t="shared" si="3"/>
        <v/>
      </c>
      <c r="L30" s="6"/>
      <c r="M30" s="7"/>
      <c r="N30" s="7"/>
      <c r="O30" s="7"/>
      <c r="P30" s="7"/>
      <c r="Q30" s="7"/>
      <c r="R30" s="7"/>
      <c r="U30" t="str">
        <f t="shared" si="9"/>
        <v/>
      </c>
    </row>
    <row r="31" spans="1:21" x14ac:dyDescent="0.2">
      <c r="A31" s="6"/>
      <c r="B31" s="7"/>
      <c r="C31" s="7"/>
      <c r="D31" s="7"/>
      <c r="E31" s="7"/>
      <c r="F31" s="7"/>
      <c r="G31" s="7"/>
      <c r="H31" s="7"/>
      <c r="I31" s="8" t="e">
        <f t="shared" si="8"/>
        <v>#N/A</v>
      </c>
      <c r="J31" s="8">
        <f t="shared" si="10"/>
        <v>0</v>
      </c>
      <c r="K31" s="7" t="str">
        <f t="shared" si="3"/>
        <v/>
      </c>
      <c r="L31" s="6"/>
      <c r="M31" s="7"/>
      <c r="N31" s="7"/>
      <c r="O31" s="7"/>
      <c r="P31" s="7"/>
      <c r="Q31" s="7"/>
      <c r="R31" s="7"/>
      <c r="U31" t="str">
        <f t="shared" si="9"/>
        <v/>
      </c>
    </row>
    <row r="32" spans="1:21" x14ac:dyDescent="0.2">
      <c r="A32" s="6"/>
      <c r="B32" s="7"/>
      <c r="C32" s="7"/>
      <c r="D32" s="7"/>
      <c r="E32" s="7"/>
      <c r="F32" s="7"/>
      <c r="G32" s="7"/>
      <c r="H32" s="7"/>
      <c r="I32" s="8" t="e">
        <f t="shared" si="8"/>
        <v>#N/A</v>
      </c>
      <c r="J32" s="8">
        <f t="shared" si="10"/>
        <v>0</v>
      </c>
      <c r="K32" s="7" t="str">
        <f t="shared" si="3"/>
        <v/>
      </c>
      <c r="L32" s="6"/>
      <c r="M32" s="7"/>
      <c r="N32" s="7"/>
      <c r="O32" s="7"/>
      <c r="P32" s="7"/>
      <c r="Q32" s="7"/>
      <c r="R32" s="7"/>
      <c r="U32" t="str">
        <f t="shared" si="9"/>
        <v/>
      </c>
    </row>
    <row r="33" spans="1:21" x14ac:dyDescent="0.2">
      <c r="A33" s="6"/>
      <c r="B33" s="7"/>
      <c r="C33" s="7"/>
      <c r="D33" s="7"/>
      <c r="E33" s="7"/>
      <c r="F33" s="7"/>
      <c r="G33" s="7"/>
      <c r="H33" s="7"/>
      <c r="I33" s="8" t="e">
        <f t="shared" si="8"/>
        <v>#N/A</v>
      </c>
      <c r="J33" s="8">
        <f t="shared" si="10"/>
        <v>0</v>
      </c>
      <c r="K33" s="7" t="str">
        <f t="shared" si="3"/>
        <v/>
      </c>
      <c r="L33" s="6"/>
      <c r="M33" s="7"/>
      <c r="N33" s="7"/>
      <c r="O33" s="7"/>
      <c r="P33" s="7"/>
      <c r="Q33" s="7"/>
      <c r="R33" s="7"/>
      <c r="U33" t="str">
        <f t="shared" si="9"/>
        <v/>
      </c>
    </row>
    <row r="34" spans="1:21" x14ac:dyDescent="0.2">
      <c r="A34" s="6"/>
      <c r="B34" s="7"/>
      <c r="C34" s="7"/>
      <c r="D34" s="7"/>
      <c r="E34" s="7"/>
      <c r="F34" s="7"/>
      <c r="G34" s="7"/>
      <c r="H34" s="7"/>
      <c r="I34" s="8" t="e">
        <f t="shared" si="8"/>
        <v>#N/A</v>
      </c>
      <c r="J34" s="8">
        <f t="shared" si="10"/>
        <v>0</v>
      </c>
      <c r="K34" s="7" t="str">
        <f t="shared" si="3"/>
        <v/>
      </c>
      <c r="L34" s="6"/>
      <c r="M34" s="7"/>
      <c r="N34" s="7"/>
      <c r="O34" s="7"/>
      <c r="P34" s="7"/>
      <c r="Q34" s="7"/>
      <c r="R34" s="7"/>
      <c r="U34" t="str">
        <f t="shared" si="9"/>
        <v/>
      </c>
    </row>
    <row r="35" spans="1:21" x14ac:dyDescent="0.2">
      <c r="A35" s="6"/>
      <c r="B35" s="7"/>
      <c r="C35" s="7"/>
      <c r="D35" s="7"/>
      <c r="E35" s="7"/>
      <c r="F35" s="7"/>
      <c r="G35" s="7"/>
      <c r="H35" s="7"/>
      <c r="I35" s="8" t="e">
        <f t="shared" si="8"/>
        <v>#N/A</v>
      </c>
      <c r="J35" s="8">
        <f t="shared" si="10"/>
        <v>0</v>
      </c>
      <c r="K35" s="7" t="str">
        <f t="shared" si="3"/>
        <v/>
      </c>
      <c r="L35" s="6"/>
      <c r="M35" s="7"/>
      <c r="N35" s="7"/>
      <c r="O35" s="7"/>
      <c r="P35" s="7"/>
      <c r="Q35" s="7"/>
      <c r="R35" s="7"/>
      <c r="U35" t="str">
        <f t="shared" si="9"/>
        <v/>
      </c>
    </row>
    <row r="36" spans="1:21" x14ac:dyDescent="0.2">
      <c r="A36" s="6"/>
      <c r="B36" s="7"/>
      <c r="C36" s="7"/>
      <c r="D36" s="7"/>
      <c r="E36" s="7"/>
      <c r="F36" s="7"/>
      <c r="G36" s="7"/>
      <c r="H36" s="7"/>
      <c r="I36" s="8" t="e">
        <f t="shared" si="8"/>
        <v>#N/A</v>
      </c>
      <c r="J36" s="8">
        <f t="shared" si="10"/>
        <v>0</v>
      </c>
      <c r="K36" s="7" t="str">
        <f t="shared" si="3"/>
        <v/>
      </c>
      <c r="L36" s="6"/>
      <c r="M36" s="7"/>
      <c r="N36" s="7"/>
      <c r="O36" s="7"/>
      <c r="P36" s="7"/>
      <c r="Q36" s="7"/>
      <c r="R36" s="7"/>
      <c r="U36" t="str">
        <f t="shared" si="9"/>
        <v/>
      </c>
    </row>
    <row r="37" spans="1:21" x14ac:dyDescent="0.2">
      <c r="A37" s="6"/>
      <c r="B37" s="7"/>
      <c r="C37" s="7"/>
      <c r="D37" s="7"/>
      <c r="E37" s="7"/>
      <c r="F37" s="7"/>
      <c r="G37" s="7"/>
      <c r="H37" s="7"/>
      <c r="I37" s="8" t="e">
        <f t="shared" si="8"/>
        <v>#N/A</v>
      </c>
      <c r="J37" s="8">
        <f t="shared" si="10"/>
        <v>0</v>
      </c>
      <c r="K37" s="7" t="str">
        <f t="shared" si="3"/>
        <v/>
      </c>
      <c r="L37" s="6"/>
      <c r="M37" s="7"/>
      <c r="N37" s="7"/>
      <c r="O37" s="7"/>
      <c r="P37" s="7"/>
      <c r="Q37" s="7"/>
      <c r="R37" s="7"/>
      <c r="U37" t="str">
        <f t="shared" si="9"/>
        <v/>
      </c>
    </row>
    <row r="38" spans="1:21" x14ac:dyDescent="0.2">
      <c r="A38" s="6"/>
      <c r="B38" s="7"/>
      <c r="C38" s="7"/>
      <c r="D38" s="7"/>
      <c r="E38" s="7"/>
      <c r="F38" s="7"/>
      <c r="G38" s="7"/>
      <c r="H38" s="7"/>
      <c r="I38" s="8" t="e">
        <f t="shared" si="8"/>
        <v>#N/A</v>
      </c>
      <c r="J38" s="8">
        <f t="shared" si="10"/>
        <v>0</v>
      </c>
      <c r="K38" s="7" t="str">
        <f t="shared" si="3"/>
        <v/>
      </c>
      <c r="L38" s="6"/>
      <c r="M38" s="7"/>
      <c r="N38" s="7"/>
      <c r="O38" s="7"/>
      <c r="P38" s="7"/>
      <c r="Q38" s="7"/>
      <c r="R38" s="7"/>
      <c r="U38" t="str">
        <f t="shared" si="9"/>
        <v/>
      </c>
    </row>
    <row r="39" spans="1:21" x14ac:dyDescent="0.2">
      <c r="A39" s="6"/>
      <c r="B39" s="7"/>
      <c r="C39" s="7"/>
      <c r="D39" s="7"/>
      <c r="E39" s="7"/>
      <c r="F39" s="7"/>
      <c r="G39" s="7"/>
      <c r="H39" s="7"/>
      <c r="I39" s="8" t="e">
        <f t="shared" si="8"/>
        <v>#N/A</v>
      </c>
      <c r="J39" s="8">
        <f t="shared" si="10"/>
        <v>0</v>
      </c>
      <c r="K39" s="7" t="str">
        <f t="shared" si="3"/>
        <v/>
      </c>
      <c r="L39" s="6"/>
      <c r="M39" s="7"/>
      <c r="N39" s="7"/>
      <c r="O39" s="7"/>
      <c r="P39" s="7"/>
      <c r="Q39" s="7"/>
      <c r="R39" s="7"/>
      <c r="U39" t="str">
        <f t="shared" si="9"/>
        <v/>
      </c>
    </row>
    <row r="40" spans="1:21" x14ac:dyDescent="0.2">
      <c r="A40" s="6"/>
      <c r="B40" s="7"/>
      <c r="C40" s="7"/>
      <c r="D40" s="7"/>
      <c r="E40" s="7"/>
      <c r="F40" s="7"/>
      <c r="G40" s="7"/>
      <c r="H40" s="7"/>
      <c r="I40" s="8" t="e">
        <f t="shared" si="8"/>
        <v>#N/A</v>
      </c>
      <c r="J40" s="8">
        <f t="shared" si="10"/>
        <v>0</v>
      </c>
      <c r="K40" s="7" t="str">
        <f t="shared" si="3"/>
        <v/>
      </c>
      <c r="L40" s="6"/>
      <c r="M40" s="7"/>
      <c r="N40" s="7"/>
      <c r="O40" s="7"/>
      <c r="P40" s="7"/>
      <c r="Q40" s="7"/>
      <c r="R40" s="7"/>
      <c r="U40" t="str">
        <f t="shared" si="9"/>
        <v/>
      </c>
    </row>
    <row r="41" spans="1:21" x14ac:dyDescent="0.2">
      <c r="A41" s="6"/>
      <c r="B41" s="7"/>
      <c r="C41" s="7"/>
      <c r="D41" s="7"/>
      <c r="E41" s="7"/>
      <c r="F41" s="7"/>
      <c r="G41" s="7"/>
      <c r="H41" s="7"/>
      <c r="I41" s="8" t="e">
        <f t="shared" si="8"/>
        <v>#N/A</v>
      </c>
      <c r="J41" s="8">
        <f t="shared" si="10"/>
        <v>0</v>
      </c>
      <c r="K41" s="7" t="str">
        <f t="shared" si="3"/>
        <v/>
      </c>
      <c r="L41" s="6"/>
      <c r="M41" s="7"/>
      <c r="N41" s="7"/>
      <c r="O41" s="7"/>
      <c r="P41" s="7"/>
      <c r="Q41" s="7"/>
      <c r="R41" s="7"/>
      <c r="U41" t="str">
        <f t="shared" si="9"/>
        <v/>
      </c>
    </row>
    <row r="42" spans="1:21" x14ac:dyDescent="0.2">
      <c r="A42" s="6"/>
      <c r="B42" s="7"/>
      <c r="C42" s="7"/>
      <c r="D42" s="7"/>
      <c r="E42" s="7"/>
      <c r="F42" s="7"/>
      <c r="G42" s="7"/>
      <c r="H42" s="7"/>
      <c r="I42" s="8" t="e">
        <f t="shared" si="8"/>
        <v>#N/A</v>
      </c>
      <c r="J42" s="8">
        <f t="shared" si="10"/>
        <v>0</v>
      </c>
      <c r="K42" s="7" t="str">
        <f t="shared" si="3"/>
        <v/>
      </c>
      <c r="L42" s="6"/>
      <c r="M42" s="7"/>
      <c r="N42" s="7"/>
      <c r="O42" s="7"/>
      <c r="P42" s="7"/>
      <c r="Q42" s="7"/>
      <c r="R42" s="7"/>
      <c r="U42" t="str">
        <f t="shared" si="9"/>
        <v/>
      </c>
    </row>
    <row r="43" spans="1:21" x14ac:dyDescent="0.2">
      <c r="A43" s="6"/>
      <c r="B43" s="7"/>
      <c r="C43" s="7"/>
      <c r="D43" s="7"/>
      <c r="E43" s="7"/>
      <c r="F43" s="7"/>
      <c r="G43" s="7"/>
      <c r="H43" s="7"/>
      <c r="I43" s="8" t="e">
        <f t="shared" si="8"/>
        <v>#N/A</v>
      </c>
      <c r="J43" s="8">
        <f t="shared" si="10"/>
        <v>0</v>
      </c>
      <c r="K43" s="7" t="str">
        <f t="shared" si="3"/>
        <v/>
      </c>
      <c r="L43" s="6"/>
      <c r="M43" s="7"/>
      <c r="N43" s="7"/>
      <c r="O43" s="7"/>
      <c r="P43" s="7"/>
      <c r="Q43" s="7"/>
      <c r="R43" s="7"/>
      <c r="U43" t="str">
        <f t="shared" si="9"/>
        <v/>
      </c>
    </row>
    <row r="44" spans="1:21" x14ac:dyDescent="0.2">
      <c r="A44" s="6"/>
      <c r="B44" s="7"/>
      <c r="C44" s="7"/>
      <c r="D44" s="7"/>
      <c r="E44" s="7"/>
      <c r="F44" s="7"/>
      <c r="G44" s="7"/>
      <c r="I44" s="8" t="e">
        <f t="shared" si="8"/>
        <v>#N/A</v>
      </c>
      <c r="J44" s="8">
        <f t="shared" si="10"/>
        <v>0</v>
      </c>
      <c r="K44" s="7" t="str">
        <f t="shared" si="3"/>
        <v/>
      </c>
      <c r="L44" s="6"/>
      <c r="M44" s="7"/>
      <c r="N44" s="7"/>
      <c r="O44" s="7"/>
      <c r="P44" s="7"/>
      <c r="Q44" s="7"/>
      <c r="R44" s="7"/>
      <c r="U44" t="str">
        <f t="shared" si="9"/>
        <v/>
      </c>
    </row>
    <row r="45" spans="1:21" x14ac:dyDescent="0.2">
      <c r="A45" s="6"/>
      <c r="B45" s="7"/>
      <c r="C45" s="7"/>
      <c r="D45" s="7"/>
      <c r="E45" s="7"/>
      <c r="F45" s="7"/>
      <c r="G45" s="7"/>
      <c r="I45" s="8" t="e">
        <f t="shared" si="8"/>
        <v>#N/A</v>
      </c>
      <c r="J45" s="8">
        <f t="shared" si="10"/>
        <v>0</v>
      </c>
      <c r="K45" s="7" t="str">
        <f t="shared" si="3"/>
        <v/>
      </c>
      <c r="L45" s="6"/>
      <c r="M45" s="7"/>
      <c r="N45" s="7"/>
      <c r="O45" s="7"/>
      <c r="P45" s="7"/>
      <c r="Q45" s="7"/>
      <c r="R45" s="7"/>
      <c r="U45" t="str">
        <f t="shared" si="9"/>
        <v/>
      </c>
    </row>
    <row r="46" spans="1:21" x14ac:dyDescent="0.2">
      <c r="A46" s="6"/>
      <c r="B46" s="7"/>
      <c r="C46" s="7"/>
      <c r="D46" s="7"/>
      <c r="E46" s="7"/>
      <c r="F46" s="7"/>
      <c r="G46" s="7"/>
      <c r="I46" s="8" t="e">
        <f t="shared" si="8"/>
        <v>#N/A</v>
      </c>
      <c r="J46" s="8">
        <f t="shared" si="10"/>
        <v>0</v>
      </c>
      <c r="K46" s="7" t="str">
        <f t="shared" si="3"/>
        <v/>
      </c>
      <c r="L46" s="6"/>
      <c r="M46" s="7"/>
      <c r="N46" s="7"/>
      <c r="O46" s="7"/>
      <c r="P46" s="7"/>
      <c r="Q46" s="7"/>
      <c r="R46" s="7"/>
      <c r="U46" t="str">
        <f t="shared" si="9"/>
        <v/>
      </c>
    </row>
    <row r="47" spans="1:21" x14ac:dyDescent="0.2">
      <c r="A47" s="6"/>
      <c r="B47" s="7"/>
      <c r="C47" s="7"/>
      <c r="D47" s="7"/>
      <c r="E47" s="7"/>
      <c r="F47" s="7"/>
      <c r="G47" s="7"/>
      <c r="I47" s="8" t="e">
        <f t="shared" si="8"/>
        <v>#N/A</v>
      </c>
      <c r="J47" s="8">
        <f t="shared" si="10"/>
        <v>0</v>
      </c>
      <c r="K47" s="7" t="str">
        <f t="shared" si="3"/>
        <v/>
      </c>
      <c r="L47" s="6"/>
      <c r="M47" s="7"/>
      <c r="N47" s="7"/>
      <c r="O47" s="7"/>
      <c r="P47" s="7"/>
      <c r="Q47" s="7"/>
      <c r="R47" s="7"/>
      <c r="U47" t="str">
        <f t="shared" si="9"/>
        <v/>
      </c>
    </row>
    <row r="48" spans="1:21" x14ac:dyDescent="0.2">
      <c r="A48" s="6"/>
      <c r="B48" s="7"/>
      <c r="C48" s="7"/>
      <c r="D48" s="7"/>
      <c r="E48" s="7"/>
      <c r="F48" s="7"/>
      <c r="G48" s="7"/>
      <c r="I48" s="8" t="e">
        <f t="shared" si="8"/>
        <v>#N/A</v>
      </c>
      <c r="J48" s="8">
        <f t="shared" si="10"/>
        <v>0</v>
      </c>
      <c r="K48" s="7" t="str">
        <f t="shared" si="3"/>
        <v/>
      </c>
      <c r="L48" s="6"/>
      <c r="M48" s="7"/>
      <c r="N48" s="7"/>
      <c r="O48" s="7"/>
      <c r="P48" s="7"/>
      <c r="Q48" s="7"/>
      <c r="R48" s="7"/>
      <c r="U48" s="9" t="e">
        <f>SUM(U2:U47)</f>
        <v>#REF!</v>
      </c>
    </row>
    <row r="49" spans="1:18" x14ac:dyDescent="0.2">
      <c r="A49" s="6"/>
      <c r="B49" s="7"/>
      <c r="C49" s="7"/>
      <c r="D49" s="7"/>
      <c r="E49" s="7"/>
      <c r="F49" s="7"/>
      <c r="G49" s="7"/>
      <c r="I49" s="8" t="e">
        <f t="shared" ref="I49:I67" si="11">VLOOKUP(H48,$K$2:$N$70,4,FALSE)</f>
        <v>#N/A</v>
      </c>
      <c r="J49" s="8">
        <f t="shared" si="10"/>
        <v>0</v>
      </c>
      <c r="K49" s="7" t="str">
        <f t="shared" si="3"/>
        <v/>
      </c>
      <c r="L49" s="6"/>
      <c r="M49" s="7"/>
      <c r="N49" s="7"/>
      <c r="O49" s="7"/>
      <c r="P49" s="7"/>
      <c r="Q49" s="7"/>
      <c r="R49" s="7"/>
    </row>
    <row r="50" spans="1:18" x14ac:dyDescent="0.2">
      <c r="A50" s="6"/>
      <c r="B50" s="7"/>
      <c r="C50" s="7"/>
      <c r="D50" s="7"/>
      <c r="E50" s="7"/>
      <c r="F50" s="7"/>
      <c r="G50" s="7"/>
      <c r="I50" s="8" t="e">
        <f t="shared" si="11"/>
        <v>#N/A</v>
      </c>
      <c r="J50" s="8">
        <f t="shared" si="10"/>
        <v>0</v>
      </c>
      <c r="K50" s="7" t="str">
        <f t="shared" si="3"/>
        <v/>
      </c>
      <c r="L50" s="6"/>
      <c r="M50" s="7"/>
      <c r="N50" s="7"/>
      <c r="O50" s="7"/>
      <c r="P50" s="7"/>
      <c r="Q50" s="7"/>
      <c r="R50" s="7"/>
    </row>
    <row r="51" spans="1:18" x14ac:dyDescent="0.2">
      <c r="A51" s="6"/>
      <c r="B51" s="7"/>
      <c r="C51" s="7"/>
      <c r="D51" s="7"/>
      <c r="E51" s="7"/>
      <c r="F51" s="7"/>
      <c r="G51" s="7"/>
      <c r="I51" s="8" t="e">
        <f t="shared" si="11"/>
        <v>#N/A</v>
      </c>
      <c r="J51" s="8">
        <f t="shared" si="10"/>
        <v>0</v>
      </c>
      <c r="K51" s="7" t="str">
        <f t="shared" si="3"/>
        <v/>
      </c>
      <c r="L51" s="6"/>
      <c r="M51" s="7"/>
      <c r="N51" s="7"/>
      <c r="O51" s="7"/>
      <c r="P51" s="7"/>
      <c r="Q51" s="7"/>
      <c r="R51" s="7"/>
    </row>
    <row r="52" spans="1:18" x14ac:dyDescent="0.2">
      <c r="A52" s="6"/>
      <c r="B52" s="7"/>
      <c r="C52" s="7"/>
      <c r="D52" s="7"/>
      <c r="E52" s="7"/>
      <c r="F52" s="7"/>
      <c r="G52" s="7"/>
      <c r="I52" s="8" t="e">
        <f t="shared" si="11"/>
        <v>#N/A</v>
      </c>
      <c r="J52" s="8">
        <f t="shared" si="10"/>
        <v>0</v>
      </c>
      <c r="K52" s="7" t="str">
        <f t="shared" si="3"/>
        <v/>
      </c>
      <c r="L52" s="6"/>
      <c r="M52" s="7"/>
      <c r="N52" s="7"/>
      <c r="O52" s="7"/>
      <c r="P52" s="7"/>
      <c r="Q52" s="7"/>
      <c r="R52" s="7"/>
    </row>
    <row r="53" spans="1:18" x14ac:dyDescent="0.2">
      <c r="A53" s="6"/>
      <c r="B53" s="7"/>
      <c r="C53" s="7"/>
      <c r="D53" s="7"/>
      <c r="E53" s="7"/>
      <c r="F53" s="7"/>
      <c r="G53" s="7"/>
      <c r="I53" s="8" t="e">
        <f t="shared" si="11"/>
        <v>#N/A</v>
      </c>
      <c r="J53" s="8">
        <f t="shared" si="10"/>
        <v>0</v>
      </c>
      <c r="K53" s="7" t="str">
        <f t="shared" si="3"/>
        <v/>
      </c>
      <c r="L53" s="6"/>
      <c r="M53" s="7"/>
      <c r="N53" s="7"/>
      <c r="O53" s="7"/>
      <c r="P53" s="7"/>
      <c r="Q53" s="7"/>
      <c r="R53" s="7"/>
    </row>
    <row r="54" spans="1:18" x14ac:dyDescent="0.2">
      <c r="I54" s="8" t="e">
        <f t="shared" si="11"/>
        <v>#N/A</v>
      </c>
      <c r="J54" s="8">
        <f t="shared" ref="J54:J70" si="12">IF(ISNA(I51),C48,0)</f>
        <v>0</v>
      </c>
      <c r="K54" s="7" t="str">
        <f t="shared" si="3"/>
        <v/>
      </c>
      <c r="L54" s="6"/>
      <c r="M54" s="7"/>
      <c r="N54" s="7"/>
      <c r="O54" s="7"/>
      <c r="P54" s="7"/>
      <c r="Q54" s="7"/>
      <c r="R54" s="7"/>
    </row>
    <row r="55" spans="1:18" x14ac:dyDescent="0.2">
      <c r="I55" s="8" t="e">
        <f t="shared" si="11"/>
        <v>#N/A</v>
      </c>
      <c r="J55" s="8">
        <f t="shared" si="12"/>
        <v>0</v>
      </c>
      <c r="K55" s="7" t="str">
        <f t="shared" si="3"/>
        <v/>
      </c>
      <c r="L55" s="6"/>
      <c r="M55" s="7"/>
      <c r="N55" s="7"/>
      <c r="O55" s="7"/>
      <c r="P55" s="7"/>
      <c r="Q55" s="7"/>
      <c r="R55" s="7"/>
    </row>
    <row r="56" spans="1:18" x14ac:dyDescent="0.2">
      <c r="I56" s="8" t="e">
        <f t="shared" si="11"/>
        <v>#N/A</v>
      </c>
      <c r="J56" s="8">
        <f t="shared" si="12"/>
        <v>0</v>
      </c>
      <c r="K56" s="7" t="str">
        <f t="shared" si="3"/>
        <v/>
      </c>
      <c r="L56" s="6"/>
      <c r="M56" s="7"/>
      <c r="N56" s="7"/>
      <c r="O56" s="7"/>
      <c r="P56" s="7"/>
      <c r="Q56" s="7"/>
      <c r="R56" s="7"/>
    </row>
    <row r="57" spans="1:18" x14ac:dyDescent="0.2">
      <c r="I57" s="8" t="e">
        <f t="shared" si="11"/>
        <v>#N/A</v>
      </c>
      <c r="J57" s="8">
        <f t="shared" si="12"/>
        <v>0</v>
      </c>
      <c r="K57" s="7" t="str">
        <f t="shared" si="3"/>
        <v/>
      </c>
      <c r="L57" s="6"/>
      <c r="M57" s="7"/>
      <c r="N57" s="7"/>
      <c r="O57" s="7"/>
      <c r="P57" s="7"/>
      <c r="Q57" s="7"/>
      <c r="R57" s="7"/>
    </row>
    <row r="58" spans="1:18" x14ac:dyDescent="0.2">
      <c r="I58" s="8" t="e">
        <f t="shared" si="11"/>
        <v>#N/A</v>
      </c>
      <c r="J58" s="8">
        <f t="shared" si="12"/>
        <v>0</v>
      </c>
      <c r="K58" s="7" t="str">
        <f t="shared" si="3"/>
        <v/>
      </c>
      <c r="L58" s="6"/>
      <c r="M58" s="7"/>
      <c r="N58" s="7"/>
      <c r="O58" s="7"/>
      <c r="P58" s="7"/>
      <c r="Q58" s="7"/>
      <c r="R58" s="7"/>
    </row>
    <row r="59" spans="1:18" x14ac:dyDescent="0.2">
      <c r="I59" s="8" t="e">
        <f t="shared" si="11"/>
        <v>#N/A</v>
      </c>
      <c r="J59" s="8">
        <f t="shared" si="12"/>
        <v>0</v>
      </c>
      <c r="K59" s="7" t="str">
        <f t="shared" si="3"/>
        <v/>
      </c>
      <c r="L59" s="6"/>
      <c r="M59" s="7"/>
      <c r="N59" s="7"/>
      <c r="O59" s="7"/>
      <c r="P59" s="7"/>
      <c r="Q59" s="7"/>
      <c r="R59" s="7"/>
    </row>
    <row r="60" spans="1:18" x14ac:dyDescent="0.2">
      <c r="I60" s="8" t="e">
        <f t="shared" si="11"/>
        <v>#N/A</v>
      </c>
      <c r="J60" s="8">
        <f t="shared" si="12"/>
        <v>0</v>
      </c>
      <c r="K60" s="7" t="str">
        <f t="shared" si="3"/>
        <v/>
      </c>
      <c r="L60" s="6"/>
      <c r="M60" s="7"/>
      <c r="N60" s="7"/>
      <c r="O60" s="7"/>
      <c r="P60" s="7"/>
      <c r="Q60" s="7"/>
      <c r="R60" s="7"/>
    </row>
    <row r="61" spans="1:18" x14ac:dyDescent="0.2">
      <c r="I61" s="8" t="e">
        <f t="shared" si="11"/>
        <v>#N/A</v>
      </c>
      <c r="J61" s="8">
        <f t="shared" si="12"/>
        <v>0</v>
      </c>
      <c r="K61" s="7" t="str">
        <f t="shared" si="3"/>
        <v/>
      </c>
      <c r="L61" s="6"/>
      <c r="M61" s="7"/>
      <c r="N61" s="7"/>
      <c r="O61" s="7"/>
      <c r="P61" s="7"/>
      <c r="Q61" s="7"/>
      <c r="R61" s="7"/>
    </row>
    <row r="62" spans="1:18" x14ac:dyDescent="0.2">
      <c r="I62" s="8" t="e">
        <f t="shared" si="11"/>
        <v>#N/A</v>
      </c>
      <c r="J62" s="8">
        <f t="shared" si="12"/>
        <v>0</v>
      </c>
      <c r="K62" s="7" t="str">
        <f t="shared" si="3"/>
        <v/>
      </c>
      <c r="L62" s="6"/>
      <c r="M62" s="7"/>
      <c r="N62" s="7"/>
      <c r="O62" s="7"/>
      <c r="P62" s="7"/>
      <c r="Q62" s="7"/>
      <c r="R62" s="7"/>
    </row>
    <row r="63" spans="1:18" x14ac:dyDescent="0.2">
      <c r="I63" s="8" t="e">
        <f t="shared" si="11"/>
        <v>#N/A</v>
      </c>
      <c r="J63" s="8">
        <f t="shared" si="12"/>
        <v>0</v>
      </c>
      <c r="K63" s="7" t="str">
        <f t="shared" si="3"/>
        <v/>
      </c>
      <c r="L63" s="6"/>
      <c r="M63" s="7"/>
      <c r="N63" s="7"/>
      <c r="O63" s="7"/>
      <c r="P63" s="7"/>
      <c r="Q63" s="7"/>
      <c r="R63" s="7"/>
    </row>
    <row r="64" spans="1:18" x14ac:dyDescent="0.2">
      <c r="I64" s="8" t="e">
        <f t="shared" si="11"/>
        <v>#N/A</v>
      </c>
      <c r="J64" s="8">
        <f t="shared" si="12"/>
        <v>0</v>
      </c>
      <c r="K64" s="7" t="str">
        <f t="shared" si="3"/>
        <v/>
      </c>
      <c r="L64" s="6"/>
      <c r="M64" s="7"/>
      <c r="N64" s="7"/>
      <c r="O64" s="7"/>
      <c r="P64" s="7"/>
      <c r="Q64" s="7"/>
      <c r="R64" s="7"/>
    </row>
    <row r="65" spans="9:18" x14ac:dyDescent="0.2">
      <c r="I65" s="8" t="e">
        <f t="shared" si="11"/>
        <v>#N/A</v>
      </c>
      <c r="J65" s="8">
        <f t="shared" si="12"/>
        <v>0</v>
      </c>
      <c r="K65" s="7" t="str">
        <f t="shared" si="3"/>
        <v/>
      </c>
      <c r="L65" s="6"/>
      <c r="M65" s="7"/>
      <c r="N65" s="7"/>
      <c r="O65" s="7"/>
      <c r="P65" s="7"/>
      <c r="Q65" s="7"/>
      <c r="R65" s="7"/>
    </row>
    <row r="66" spans="9:18" x14ac:dyDescent="0.2">
      <c r="I66" s="8" t="e">
        <f t="shared" si="11"/>
        <v>#N/A</v>
      </c>
      <c r="J66" s="8">
        <f t="shared" si="12"/>
        <v>0</v>
      </c>
      <c r="K66" s="7" t="str">
        <f t="shared" si="3"/>
        <v/>
      </c>
      <c r="L66" s="6"/>
      <c r="M66" s="7"/>
      <c r="N66" s="7"/>
      <c r="O66" s="7"/>
      <c r="P66" s="7"/>
      <c r="Q66" s="7"/>
      <c r="R66" s="7"/>
    </row>
    <row r="67" spans="9:18" x14ac:dyDescent="0.2">
      <c r="I67" s="8" t="e">
        <f t="shared" si="11"/>
        <v>#N/A</v>
      </c>
      <c r="J67" s="8">
        <f t="shared" si="12"/>
        <v>0</v>
      </c>
      <c r="K67" s="7" t="str">
        <f t="shared" ref="K67:K70" si="13">LEFT(M67,6)</f>
        <v/>
      </c>
      <c r="L67" s="6"/>
      <c r="M67" s="7"/>
      <c r="N67" s="7"/>
      <c r="O67" s="7"/>
      <c r="P67" s="7"/>
      <c r="Q67" s="7"/>
      <c r="R67" s="7"/>
    </row>
    <row r="68" spans="9:18" x14ac:dyDescent="0.2">
      <c r="J68" s="8">
        <f t="shared" si="12"/>
        <v>0</v>
      </c>
      <c r="K68" s="7" t="str">
        <f t="shared" si="13"/>
        <v/>
      </c>
      <c r="L68" s="6"/>
      <c r="M68" s="7"/>
      <c r="N68" s="7"/>
      <c r="O68" s="7"/>
      <c r="P68" s="7"/>
      <c r="Q68" s="7"/>
      <c r="R68" s="7"/>
    </row>
    <row r="69" spans="9:18" x14ac:dyDescent="0.2">
      <c r="J69" s="8">
        <f t="shared" si="12"/>
        <v>0</v>
      </c>
      <c r="K69" s="7" t="str">
        <f t="shared" si="13"/>
        <v/>
      </c>
      <c r="L69" s="6"/>
      <c r="M69" s="7"/>
      <c r="N69" s="7"/>
      <c r="O69" s="7"/>
      <c r="P69" s="7"/>
      <c r="Q69" s="7"/>
      <c r="R69" s="7"/>
    </row>
    <row r="70" spans="9:18" x14ac:dyDescent="0.2">
      <c r="J70" s="8">
        <f t="shared" si="12"/>
        <v>0</v>
      </c>
      <c r="K70" s="7" t="str">
        <f t="shared" si="13"/>
        <v/>
      </c>
      <c r="L70" s="6"/>
      <c r="M70" s="7"/>
      <c r="N70" s="7"/>
      <c r="O70" s="7"/>
      <c r="P70" s="7"/>
      <c r="Q70" s="7"/>
      <c r="R70" s="7"/>
    </row>
    <row r="71" spans="9:18" x14ac:dyDescent="0.2">
      <c r="L71" s="6"/>
      <c r="M71" s="7"/>
      <c r="N71" s="7"/>
      <c r="O71" s="7"/>
      <c r="P71" s="7"/>
      <c r="Q71" s="7"/>
      <c r="R71" s="7"/>
    </row>
    <row r="72" spans="9:18" x14ac:dyDescent="0.2">
      <c r="L72" s="6"/>
      <c r="M72" s="7"/>
      <c r="N72" s="7"/>
      <c r="O72" s="7"/>
      <c r="P72" s="7"/>
      <c r="Q72" s="7"/>
      <c r="R72" s="7"/>
    </row>
    <row r="73" spans="9:18" x14ac:dyDescent="0.2">
      <c r="L73" s="6"/>
      <c r="M73" s="7"/>
      <c r="N73" s="7"/>
      <c r="O73" s="7"/>
      <c r="P73" s="7"/>
      <c r="Q73" s="7"/>
      <c r="R73" s="7"/>
    </row>
    <row r="74" spans="9:18" x14ac:dyDescent="0.2">
      <c r="L74" s="6"/>
      <c r="M74" s="7"/>
      <c r="N74" s="7"/>
      <c r="O74" s="7"/>
      <c r="P74" s="7"/>
      <c r="Q74" s="7"/>
      <c r="R74" s="7"/>
    </row>
    <row r="75" spans="9:18" x14ac:dyDescent="0.2">
      <c r="L75" s="6"/>
      <c r="M75" s="7"/>
      <c r="N75" s="7"/>
      <c r="O75" s="7"/>
      <c r="P75" s="7"/>
      <c r="Q75" s="7"/>
      <c r="R75" s="7"/>
    </row>
    <row r="76" spans="9:18" x14ac:dyDescent="0.2">
      <c r="L76" s="6"/>
      <c r="M76" s="7"/>
      <c r="N76" s="7"/>
      <c r="O76" s="7"/>
      <c r="P76" s="7"/>
      <c r="Q76" s="7"/>
      <c r="R76" s="7"/>
    </row>
    <row r="77" spans="9:18" x14ac:dyDescent="0.2">
      <c r="L77" s="6"/>
      <c r="M77" s="7"/>
      <c r="N77" s="7"/>
      <c r="O77" s="7"/>
      <c r="P77" s="7"/>
      <c r="Q77" s="7"/>
      <c r="R77" s="7"/>
    </row>
    <row r="78" spans="9:18" x14ac:dyDescent="0.2">
      <c r="L78" s="6"/>
      <c r="M78" s="7"/>
      <c r="N78" s="7"/>
      <c r="O78" s="7"/>
      <c r="P78" s="7"/>
      <c r="Q78" s="7"/>
      <c r="R78" s="7"/>
    </row>
    <row r="79" spans="9:18" x14ac:dyDescent="0.2">
      <c r="L79" s="6"/>
      <c r="M79" s="7"/>
      <c r="N79" s="7"/>
      <c r="O79" s="7"/>
      <c r="P79" s="7"/>
      <c r="Q79" s="7"/>
      <c r="R79" s="7"/>
    </row>
    <row r="80" spans="9:18" x14ac:dyDescent="0.2">
      <c r="L80" s="6"/>
      <c r="M80" s="7"/>
      <c r="N80" s="7"/>
      <c r="O80" s="7"/>
      <c r="P80" s="7"/>
      <c r="Q80" s="7"/>
      <c r="R80" s="7"/>
    </row>
    <row r="81" spans="12:18" x14ac:dyDescent="0.2">
      <c r="L81" s="6"/>
      <c r="M81" s="7"/>
      <c r="N81" s="7"/>
      <c r="O81" s="7"/>
      <c r="P81" s="7"/>
      <c r="Q81" s="7"/>
      <c r="R81" s="7"/>
    </row>
    <row r="82" spans="12:18" x14ac:dyDescent="0.2">
      <c r="L82" s="6"/>
      <c r="M82" s="7"/>
      <c r="N82" s="7"/>
      <c r="O82" s="7"/>
      <c r="P82" s="7"/>
      <c r="Q82" s="7"/>
      <c r="R82" s="7"/>
    </row>
    <row r="83" spans="12:18" x14ac:dyDescent="0.2">
      <c r="L83" s="6"/>
      <c r="M83" s="7"/>
      <c r="N83" s="7"/>
      <c r="O83" s="7"/>
      <c r="P83" s="7"/>
      <c r="Q83" s="7"/>
      <c r="R83" s="7"/>
    </row>
    <row r="84" spans="12:18" x14ac:dyDescent="0.2">
      <c r="L84" s="6"/>
      <c r="M84" s="7"/>
      <c r="N84" s="7"/>
      <c r="O84" s="7"/>
      <c r="P84" s="7"/>
      <c r="Q84" s="7"/>
      <c r="R84" s="7"/>
    </row>
    <row r="85" spans="12:18" x14ac:dyDescent="0.2">
      <c r="L85" s="6"/>
      <c r="M85" s="7"/>
      <c r="N85" s="7"/>
      <c r="O85" s="7"/>
      <c r="P85" s="7"/>
      <c r="Q85" s="7"/>
      <c r="R85" s="7"/>
    </row>
    <row r="86" spans="12:18" x14ac:dyDescent="0.2">
      <c r="L86" s="6"/>
      <c r="M86" s="7"/>
      <c r="N86" s="7"/>
      <c r="O86" s="7"/>
      <c r="P86" s="7"/>
      <c r="Q86" s="7"/>
      <c r="R86" s="7"/>
    </row>
    <row r="87" spans="12:18" x14ac:dyDescent="0.2">
      <c r="L87" s="6"/>
      <c r="M87" s="7"/>
      <c r="N87" s="7"/>
      <c r="O87" s="7"/>
      <c r="P87" s="7"/>
      <c r="Q87" s="7"/>
      <c r="R87" s="7"/>
    </row>
    <row r="88" spans="12:18" x14ac:dyDescent="0.2">
      <c r="L88" s="6"/>
      <c r="M88" s="7"/>
      <c r="N88" s="7"/>
      <c r="O88" s="7"/>
      <c r="P88" s="7"/>
      <c r="Q88" s="7"/>
      <c r="R88" s="7"/>
    </row>
    <row r="89" spans="12:18" x14ac:dyDescent="0.2">
      <c r="L89" s="6"/>
      <c r="M89" s="7"/>
      <c r="N89" s="7"/>
      <c r="O89" s="7"/>
      <c r="P89" s="7"/>
      <c r="Q89" s="7"/>
      <c r="R89" s="7"/>
    </row>
    <row r="90" spans="12:18" x14ac:dyDescent="0.2">
      <c r="L90" s="6"/>
      <c r="M90" s="7"/>
      <c r="N90" s="7"/>
      <c r="O90" s="7"/>
      <c r="P90" s="7"/>
      <c r="Q90" s="7"/>
      <c r="R90" s="7"/>
    </row>
    <row r="91" spans="12:18" x14ac:dyDescent="0.2">
      <c r="L91" s="6"/>
      <c r="M91" s="7"/>
      <c r="N91" s="7"/>
      <c r="O91" s="7"/>
      <c r="P91" s="7"/>
      <c r="Q91" s="7"/>
      <c r="R91" s="7"/>
    </row>
    <row r="92" spans="12:18" x14ac:dyDescent="0.2">
      <c r="L92" s="6"/>
      <c r="M92" s="7"/>
      <c r="N92" s="7"/>
      <c r="O92" s="7"/>
      <c r="P92" s="7"/>
      <c r="Q92" s="7"/>
      <c r="R92" s="7"/>
    </row>
    <row r="93" spans="12:18" x14ac:dyDescent="0.2">
      <c r="L93" s="6"/>
      <c r="M93" s="7"/>
      <c r="N93" s="7"/>
      <c r="O93" s="7"/>
      <c r="P93" s="7"/>
      <c r="Q93" s="7"/>
      <c r="R93" s="7"/>
    </row>
    <row r="94" spans="12:18" x14ac:dyDescent="0.2">
      <c r="L94" s="6"/>
      <c r="M94" s="7"/>
      <c r="N94" s="7"/>
      <c r="O94" s="7"/>
      <c r="P94" s="7"/>
      <c r="Q94" s="7"/>
      <c r="R94" s="7"/>
    </row>
    <row r="95" spans="12:18" x14ac:dyDescent="0.2">
      <c r="L95" s="6"/>
      <c r="M95" s="7"/>
      <c r="N95" s="7"/>
      <c r="O95" s="7"/>
      <c r="P95" s="7"/>
      <c r="Q95" s="7"/>
      <c r="R95" s="7"/>
    </row>
    <row r="96" spans="12:18" x14ac:dyDescent="0.2">
      <c r="L96" s="6"/>
      <c r="M96" s="7"/>
      <c r="N96" s="7"/>
      <c r="O96" s="7"/>
      <c r="P96" s="7"/>
      <c r="Q96" s="7"/>
      <c r="R96" s="7"/>
    </row>
    <row r="97" spans="12:18" x14ac:dyDescent="0.2">
      <c r="L97" s="6"/>
      <c r="M97" s="7"/>
      <c r="N97" s="7"/>
      <c r="O97" s="7"/>
      <c r="P97" s="7"/>
      <c r="Q97" s="7"/>
      <c r="R97" s="7"/>
    </row>
    <row r="98" spans="12:18" x14ac:dyDescent="0.2">
      <c r="L98" s="6"/>
      <c r="M98" s="7"/>
      <c r="N98" s="7"/>
      <c r="O98" s="7"/>
      <c r="P98" s="7"/>
      <c r="Q98" s="7"/>
      <c r="R98" s="7"/>
    </row>
    <row r="99" spans="12:18" x14ac:dyDescent="0.2">
      <c r="L99" s="6"/>
      <c r="M99" s="7"/>
      <c r="N99" s="7"/>
      <c r="O99" s="7"/>
      <c r="P99" s="7"/>
      <c r="Q99" s="7"/>
      <c r="R99" s="7"/>
    </row>
    <row r="100" spans="12:18" x14ac:dyDescent="0.2">
      <c r="L100" s="6"/>
      <c r="M100" s="7"/>
      <c r="N100" s="7"/>
      <c r="O100" s="7"/>
      <c r="P100" s="7"/>
      <c r="Q100" s="7"/>
      <c r="R100" s="7"/>
    </row>
    <row r="101" spans="12:18" x14ac:dyDescent="0.2">
      <c r="L101" s="6"/>
      <c r="M101" s="7"/>
      <c r="N101" s="7"/>
      <c r="O101" s="7"/>
      <c r="P101" s="7"/>
      <c r="Q101" s="7"/>
      <c r="R101" s="7"/>
    </row>
    <row r="102" spans="12:18" x14ac:dyDescent="0.2">
      <c r="L102" s="6"/>
      <c r="M102" s="7"/>
      <c r="N102" s="7"/>
      <c r="O102" s="7"/>
      <c r="P102" s="7"/>
      <c r="Q102" s="7"/>
      <c r="R102" s="7"/>
    </row>
    <row r="103" spans="12:18" x14ac:dyDescent="0.2">
      <c r="L103" s="6"/>
      <c r="M103" s="7"/>
      <c r="N103" s="7"/>
      <c r="O103" s="7"/>
      <c r="P103" s="7"/>
      <c r="Q103" s="7"/>
      <c r="R103" s="7"/>
    </row>
    <row r="104" spans="12:18" x14ac:dyDescent="0.2">
      <c r="L104" s="6"/>
      <c r="M104" s="7"/>
      <c r="N104" s="7"/>
      <c r="O104" s="7"/>
      <c r="P104" s="7"/>
      <c r="Q104" s="7"/>
      <c r="R104" s="7"/>
    </row>
    <row r="105" spans="12:18" x14ac:dyDescent="0.2">
      <c r="L105" s="6"/>
      <c r="M105" s="7"/>
      <c r="N105" s="7"/>
      <c r="O105" s="7"/>
      <c r="P105" s="7"/>
      <c r="Q105" s="7"/>
      <c r="R105" s="7"/>
    </row>
    <row r="106" spans="12:18" x14ac:dyDescent="0.2">
      <c r="L106" s="6"/>
      <c r="M106" s="7"/>
      <c r="N106" s="7"/>
      <c r="O106" s="7"/>
      <c r="P106" s="7"/>
      <c r="Q106" s="7"/>
      <c r="R106" s="7"/>
    </row>
    <row r="107" spans="12:18" x14ac:dyDescent="0.2">
      <c r="L107" s="6"/>
      <c r="M107" s="7"/>
      <c r="N107" s="7"/>
      <c r="O107" s="7"/>
      <c r="P107" s="7"/>
      <c r="Q107" s="7"/>
      <c r="R107" s="7"/>
    </row>
    <row r="108" spans="12:18" x14ac:dyDescent="0.2">
      <c r="L108" s="6"/>
      <c r="M108" s="7"/>
      <c r="N108" s="7"/>
      <c r="O108" s="7"/>
      <c r="P108" s="7"/>
      <c r="Q108" s="7"/>
      <c r="R108" s="7"/>
    </row>
    <row r="109" spans="12:18" x14ac:dyDescent="0.2">
      <c r="L109" s="6"/>
      <c r="M109" s="7"/>
      <c r="N109" s="7"/>
      <c r="O109" s="7"/>
      <c r="P109" s="7"/>
      <c r="Q109" s="7"/>
      <c r="R109" s="7"/>
    </row>
    <row r="110" spans="12:18" x14ac:dyDescent="0.2">
      <c r="L110" s="6"/>
      <c r="M110" s="7"/>
      <c r="N110" s="7"/>
      <c r="O110" s="7"/>
      <c r="P110" s="7"/>
      <c r="Q110" s="7"/>
      <c r="R110" s="7"/>
    </row>
    <row r="111" spans="12:18" x14ac:dyDescent="0.2">
      <c r="L111" s="6"/>
      <c r="M111" s="7"/>
      <c r="N111" s="7"/>
      <c r="O111" s="7"/>
      <c r="P111" s="7"/>
      <c r="Q111" s="7"/>
      <c r="R111" s="7"/>
    </row>
    <row r="112" spans="12:18" x14ac:dyDescent="0.2">
      <c r="L112" s="6"/>
      <c r="M112" s="7"/>
      <c r="N112" s="7"/>
      <c r="O112" s="7"/>
      <c r="P112" s="7"/>
      <c r="Q112" s="7"/>
      <c r="R112" s="7"/>
    </row>
    <row r="113" spans="12:18" x14ac:dyDescent="0.2">
      <c r="L113" s="6"/>
      <c r="M113" s="7"/>
      <c r="N113" s="7"/>
      <c r="O113" s="7"/>
      <c r="P113" s="7"/>
      <c r="Q113" s="7"/>
      <c r="R113" s="7"/>
    </row>
    <row r="114" spans="12:18" x14ac:dyDescent="0.2">
      <c r="L114" s="6"/>
      <c r="M114" s="7"/>
      <c r="N114" s="7"/>
      <c r="O114" s="7"/>
      <c r="P114" s="7"/>
      <c r="Q114" s="7"/>
      <c r="R114" s="7"/>
    </row>
    <row r="115" spans="12:18" x14ac:dyDescent="0.2">
      <c r="L115" s="6"/>
      <c r="M115" s="7"/>
      <c r="N115" s="7"/>
      <c r="O115" s="7"/>
      <c r="P115" s="7"/>
      <c r="Q115" s="7"/>
      <c r="R115" s="7"/>
    </row>
    <row r="116" spans="12:18" x14ac:dyDescent="0.2">
      <c r="L116" s="6"/>
      <c r="M116" s="7"/>
      <c r="N116" s="7"/>
      <c r="O116" s="7"/>
      <c r="P116" s="7"/>
      <c r="Q116" s="7"/>
      <c r="R116" s="7"/>
    </row>
    <row r="117" spans="12:18" x14ac:dyDescent="0.2">
      <c r="L117" s="6"/>
      <c r="M117" s="7"/>
      <c r="N117" s="7"/>
      <c r="O117" s="7"/>
      <c r="P117" s="7"/>
      <c r="Q117" s="7"/>
      <c r="R117" s="7"/>
    </row>
    <row r="118" spans="12:18" x14ac:dyDescent="0.2">
      <c r="L118" s="6"/>
      <c r="M118" s="7"/>
      <c r="N118" s="7"/>
      <c r="O118" s="7"/>
      <c r="P118" s="7"/>
      <c r="Q118" s="7"/>
      <c r="R118" s="7"/>
    </row>
    <row r="119" spans="12:18" x14ac:dyDescent="0.2">
      <c r="L119" s="6"/>
      <c r="M119" s="7"/>
      <c r="N119" s="7"/>
      <c r="O119" s="7"/>
      <c r="P119" s="7"/>
      <c r="Q119" s="7"/>
      <c r="R119" s="7"/>
    </row>
    <row r="120" spans="12:18" x14ac:dyDescent="0.2">
      <c r="L120" s="6"/>
      <c r="M120" s="7"/>
      <c r="N120" s="7"/>
      <c r="O120" s="7"/>
      <c r="P120" s="7"/>
      <c r="Q120" s="7"/>
      <c r="R120" s="7"/>
    </row>
    <row r="121" spans="12:18" x14ac:dyDescent="0.2">
      <c r="L121" s="6"/>
      <c r="M121" s="7"/>
      <c r="N121" s="7"/>
      <c r="O121" s="7"/>
      <c r="P121" s="7"/>
      <c r="Q121" s="7"/>
      <c r="R121" s="7"/>
    </row>
    <row r="122" spans="12:18" x14ac:dyDescent="0.2">
      <c r="L122" s="6"/>
      <c r="M122" s="7"/>
      <c r="N122" s="7"/>
      <c r="O122" s="7"/>
      <c r="P122" s="7"/>
      <c r="Q122" s="7"/>
      <c r="R122" s="7"/>
    </row>
    <row r="123" spans="12:18" x14ac:dyDescent="0.2">
      <c r="L123" s="6"/>
      <c r="M123" s="7"/>
      <c r="N123" s="7"/>
      <c r="O123" s="7"/>
      <c r="P123" s="7"/>
      <c r="Q123" s="7"/>
      <c r="R123" s="7"/>
    </row>
    <row r="124" spans="12:18" x14ac:dyDescent="0.2">
      <c r="L124" s="6"/>
      <c r="M124" s="7"/>
      <c r="N124" s="7"/>
      <c r="O124" s="7"/>
      <c r="P124" s="7"/>
      <c r="Q124" s="7"/>
      <c r="R124" s="7"/>
    </row>
    <row r="125" spans="12:18" x14ac:dyDescent="0.2">
      <c r="L125" s="6"/>
      <c r="M125" s="7"/>
      <c r="N125" s="7"/>
      <c r="O125" s="7"/>
      <c r="P125" s="7"/>
      <c r="Q125" s="7"/>
      <c r="R125" s="7"/>
    </row>
    <row r="126" spans="12:18" x14ac:dyDescent="0.2">
      <c r="L126" s="6"/>
      <c r="M126" s="7"/>
      <c r="N126" s="7"/>
      <c r="O126" s="7"/>
      <c r="P126" s="7"/>
      <c r="Q126" s="7"/>
      <c r="R126" s="7"/>
    </row>
    <row r="127" spans="12:18" x14ac:dyDescent="0.2">
      <c r="L127" s="6"/>
      <c r="M127" s="7"/>
      <c r="N127" s="7"/>
      <c r="O127" s="7"/>
      <c r="P127" s="7"/>
      <c r="Q127" s="7"/>
      <c r="R127" s="7"/>
    </row>
    <row r="128" spans="12:18" x14ac:dyDescent="0.2">
      <c r="L128" s="6"/>
      <c r="M128" s="7"/>
      <c r="N128" s="7"/>
      <c r="O128" s="7"/>
      <c r="P128" s="7"/>
      <c r="Q128" s="7"/>
      <c r="R128" s="7"/>
    </row>
    <row r="129" spans="12:18" x14ac:dyDescent="0.2">
      <c r="L129" s="6"/>
      <c r="M129" s="7"/>
      <c r="N129" s="7"/>
      <c r="O129" s="7"/>
      <c r="P129" s="7"/>
      <c r="Q129" s="7"/>
      <c r="R129" s="7"/>
    </row>
    <row r="130" spans="12:18" x14ac:dyDescent="0.2">
      <c r="L130" s="6"/>
      <c r="M130" s="7"/>
      <c r="N130" s="7"/>
      <c r="O130" s="7"/>
      <c r="P130" s="7"/>
      <c r="Q130" s="7"/>
      <c r="R130" s="7"/>
    </row>
    <row r="131" spans="12:18" x14ac:dyDescent="0.2">
      <c r="L131" s="6"/>
      <c r="M131" s="7"/>
      <c r="N131" s="7"/>
      <c r="O131" s="7"/>
      <c r="P131" s="7"/>
      <c r="Q131" s="7"/>
      <c r="R131" s="7"/>
    </row>
    <row r="132" spans="12:18" x14ac:dyDescent="0.2">
      <c r="L132" s="6"/>
      <c r="M132" s="7"/>
      <c r="N132" s="7"/>
      <c r="O132" s="7"/>
      <c r="P132" s="7"/>
      <c r="Q132" s="7"/>
      <c r="R132" s="7"/>
    </row>
    <row r="133" spans="12:18" x14ac:dyDescent="0.2">
      <c r="L133" s="6"/>
      <c r="M133" s="7"/>
      <c r="N133" s="7"/>
      <c r="O133" s="7"/>
      <c r="P133" s="7"/>
      <c r="Q133" s="7"/>
      <c r="R133" s="7"/>
    </row>
    <row r="134" spans="12:18" x14ac:dyDescent="0.2">
      <c r="L134" s="6"/>
      <c r="M134" s="7"/>
      <c r="N134" s="7"/>
      <c r="O134" s="7"/>
      <c r="P134" s="7"/>
      <c r="Q134" s="7"/>
      <c r="R134" s="7"/>
    </row>
    <row r="135" spans="12:18" x14ac:dyDescent="0.2">
      <c r="L135" s="6"/>
      <c r="M135" s="7"/>
      <c r="N135" s="7"/>
      <c r="O135" s="7"/>
      <c r="P135" s="7"/>
      <c r="Q135" s="7"/>
      <c r="R135" s="7"/>
    </row>
    <row r="136" spans="12:18" x14ac:dyDescent="0.2">
      <c r="L136" s="6"/>
      <c r="M136" s="7"/>
      <c r="N136" s="7"/>
      <c r="O136" s="7"/>
      <c r="P136" s="7"/>
      <c r="Q136" s="7"/>
      <c r="R136" s="7"/>
    </row>
    <row r="137" spans="12:18" x14ac:dyDescent="0.2">
      <c r="L137" s="6"/>
      <c r="M137" s="7"/>
      <c r="N137" s="7"/>
      <c r="O137" s="7"/>
      <c r="P137" s="7"/>
      <c r="Q137" s="7"/>
      <c r="R137" s="7"/>
    </row>
    <row r="138" spans="12:18" x14ac:dyDescent="0.2">
      <c r="L138" s="6"/>
      <c r="M138" s="7"/>
      <c r="N138" s="7"/>
      <c r="O138" s="7"/>
      <c r="P138" s="7"/>
      <c r="Q138" s="7"/>
      <c r="R138" s="7"/>
    </row>
    <row r="139" spans="12:18" x14ac:dyDescent="0.2">
      <c r="L139" s="6"/>
      <c r="M139" s="7"/>
      <c r="N139" s="7"/>
      <c r="O139" s="7"/>
      <c r="P139" s="7"/>
      <c r="Q139" s="7"/>
      <c r="R139" s="7"/>
    </row>
    <row r="140" spans="12:18" x14ac:dyDescent="0.2">
      <c r="L140" s="6"/>
      <c r="M140" s="7"/>
      <c r="N140" s="7"/>
      <c r="O140" s="7"/>
      <c r="P140" s="7"/>
      <c r="Q140" s="7"/>
      <c r="R140" s="7"/>
    </row>
    <row r="141" spans="12:18" x14ac:dyDescent="0.2">
      <c r="L141" s="6"/>
      <c r="M141" s="7"/>
      <c r="N141" s="7"/>
      <c r="O141" s="7"/>
      <c r="P141" s="7"/>
      <c r="Q141" s="7"/>
      <c r="R141" s="7"/>
    </row>
    <row r="142" spans="12:18" x14ac:dyDescent="0.2">
      <c r="L142" s="6"/>
      <c r="M142" s="7"/>
      <c r="N142" s="7"/>
      <c r="O142" s="7"/>
      <c r="P142" s="7"/>
      <c r="Q142" s="7"/>
      <c r="R142" s="7"/>
    </row>
    <row r="143" spans="12:18" x14ac:dyDescent="0.2">
      <c r="L143" s="6"/>
      <c r="M143" s="7"/>
      <c r="N143" s="7"/>
      <c r="O143" s="7"/>
      <c r="P143" s="7"/>
      <c r="Q143" s="7"/>
      <c r="R143" s="7"/>
    </row>
    <row r="144" spans="12:18" x14ac:dyDescent="0.2">
      <c r="L144" s="6"/>
      <c r="M144" s="7"/>
      <c r="N144" s="7"/>
      <c r="O144" s="7"/>
      <c r="P144" s="7"/>
      <c r="Q144" s="7"/>
      <c r="R144" s="7"/>
    </row>
    <row r="145" spans="12:18" x14ac:dyDescent="0.2">
      <c r="L145" s="6"/>
      <c r="M145" s="7"/>
      <c r="N145" s="7"/>
      <c r="O145" s="7"/>
      <c r="P145" s="7"/>
      <c r="Q145" s="7"/>
      <c r="R145" s="7"/>
    </row>
    <row r="146" spans="12:18" x14ac:dyDescent="0.2">
      <c r="L146" s="6"/>
      <c r="M146" s="7"/>
      <c r="N146" s="7"/>
      <c r="O146" s="7"/>
      <c r="P146" s="7"/>
      <c r="Q146" s="7"/>
      <c r="R146" s="7"/>
    </row>
    <row r="147" spans="12:18" x14ac:dyDescent="0.2">
      <c r="L147" s="6"/>
      <c r="M147" s="7"/>
      <c r="N147" s="7"/>
      <c r="O147" s="7"/>
      <c r="P147" s="7"/>
      <c r="Q147" s="7"/>
      <c r="R147" s="7"/>
    </row>
    <row r="148" spans="12:18" x14ac:dyDescent="0.2">
      <c r="L148" s="6"/>
      <c r="M148" s="7"/>
      <c r="N148" s="7"/>
      <c r="O148" s="7"/>
      <c r="P148" s="7"/>
      <c r="Q148" s="7"/>
      <c r="R148" s="7"/>
    </row>
    <row r="149" spans="12:18" x14ac:dyDescent="0.2">
      <c r="L149" s="6"/>
      <c r="M149" s="7"/>
      <c r="N149" s="7"/>
      <c r="O149" s="7"/>
      <c r="P149" s="7"/>
      <c r="Q149" s="7"/>
      <c r="R149" s="7"/>
    </row>
    <row r="150" spans="12:18" x14ac:dyDescent="0.2">
      <c r="L150" s="6"/>
      <c r="M150" s="7"/>
      <c r="N150" s="7"/>
      <c r="O150" s="7"/>
      <c r="P150" s="7"/>
      <c r="Q150" s="7"/>
      <c r="R150" s="7"/>
    </row>
    <row r="151" spans="12:18" x14ac:dyDescent="0.2">
      <c r="L151" s="6"/>
      <c r="M151" s="7"/>
      <c r="N151" s="7"/>
      <c r="O151" s="7"/>
      <c r="P151" s="7"/>
      <c r="Q151" s="7"/>
      <c r="R151" s="7"/>
    </row>
    <row r="152" spans="12:18" x14ac:dyDescent="0.2">
      <c r="L152" s="6"/>
      <c r="M152" s="7"/>
      <c r="N152" s="7"/>
      <c r="O152" s="7"/>
      <c r="P152" s="7"/>
      <c r="Q152" s="7"/>
      <c r="R152" s="7"/>
    </row>
    <row r="153" spans="12:18" x14ac:dyDescent="0.2">
      <c r="L153" s="6"/>
      <c r="M153" s="7"/>
      <c r="N153" s="7"/>
      <c r="O153" s="7"/>
      <c r="P153" s="7"/>
      <c r="Q153" s="7"/>
      <c r="R153" s="7"/>
    </row>
    <row r="154" spans="12:18" x14ac:dyDescent="0.2">
      <c r="L154" s="6"/>
      <c r="M154" s="7"/>
      <c r="N154" s="7"/>
      <c r="O154" s="7"/>
      <c r="P154" s="7"/>
      <c r="Q154" s="7"/>
      <c r="R154" s="7"/>
    </row>
    <row r="155" spans="12:18" x14ac:dyDescent="0.2">
      <c r="L155" s="6"/>
      <c r="M155" s="7"/>
      <c r="N155" s="7"/>
      <c r="O155" s="7"/>
      <c r="P155" s="7"/>
      <c r="Q155" s="7"/>
      <c r="R155" s="7"/>
    </row>
    <row r="156" spans="12:18" x14ac:dyDescent="0.2">
      <c r="L156" s="6"/>
      <c r="M156" s="7"/>
      <c r="N156" s="7"/>
      <c r="O156" s="7"/>
      <c r="P156" s="7"/>
      <c r="Q156" s="7"/>
      <c r="R156" s="7"/>
    </row>
    <row r="157" spans="12:18" x14ac:dyDescent="0.2">
      <c r="L157" s="6"/>
      <c r="M157" s="7"/>
      <c r="N157" s="7"/>
      <c r="O157" s="7"/>
      <c r="P157" s="7"/>
      <c r="Q157" s="7"/>
      <c r="R157" s="7"/>
    </row>
    <row r="158" spans="12:18" x14ac:dyDescent="0.2">
      <c r="L158" s="6"/>
      <c r="M158" s="7"/>
      <c r="N158" s="7"/>
      <c r="O158" s="7"/>
      <c r="P158" s="7"/>
      <c r="Q158" s="7"/>
      <c r="R158" s="7"/>
    </row>
    <row r="159" spans="12:18" x14ac:dyDescent="0.2">
      <c r="L159" s="6"/>
      <c r="M159" s="7"/>
      <c r="N159" s="7"/>
      <c r="O159" s="7"/>
      <c r="P159" s="7"/>
      <c r="Q159" s="7"/>
      <c r="R159" s="7"/>
    </row>
    <row r="160" spans="12:18" x14ac:dyDescent="0.2">
      <c r="L160" s="6"/>
      <c r="M160" s="7"/>
      <c r="N160" s="7"/>
      <c r="O160" s="7"/>
      <c r="P160" s="7"/>
      <c r="Q160" s="7"/>
      <c r="R160" s="7"/>
    </row>
    <row r="161" spans="12:18" x14ac:dyDescent="0.2">
      <c r="L161" s="6"/>
      <c r="M161" s="7"/>
      <c r="N161" s="7"/>
      <c r="O161" s="7"/>
      <c r="P161" s="7"/>
      <c r="Q161" s="7"/>
      <c r="R161" s="7"/>
    </row>
    <row r="162" spans="12:18" x14ac:dyDescent="0.2">
      <c r="L162" s="6"/>
      <c r="M162" s="7"/>
      <c r="N162" s="7"/>
      <c r="O162" s="7"/>
      <c r="P162" s="7"/>
      <c r="Q162" s="7"/>
      <c r="R162" s="7"/>
    </row>
    <row r="163" spans="12:18" x14ac:dyDescent="0.2">
      <c r="L163" s="6"/>
      <c r="M163" s="7"/>
      <c r="N163" s="7"/>
      <c r="O163" s="7"/>
      <c r="P163" s="7"/>
      <c r="Q163" s="7"/>
      <c r="R163" s="7"/>
    </row>
    <row r="164" spans="12:18" x14ac:dyDescent="0.2">
      <c r="L164" s="6"/>
      <c r="M164" s="7"/>
      <c r="N164" s="7"/>
      <c r="O164" s="7"/>
      <c r="P164" s="7"/>
      <c r="Q164" s="7"/>
      <c r="R164" s="7"/>
    </row>
    <row r="165" spans="12:18" x14ac:dyDescent="0.2">
      <c r="L165" s="6"/>
      <c r="M165" s="7"/>
      <c r="N165" s="7"/>
      <c r="O165" s="7"/>
      <c r="P165" s="7"/>
      <c r="Q165" s="7"/>
      <c r="R165" s="7"/>
    </row>
    <row r="166" spans="12:18" x14ac:dyDescent="0.2">
      <c r="L166" s="6"/>
      <c r="M166" s="7"/>
      <c r="N166" s="7"/>
      <c r="O166" s="7"/>
      <c r="P166" s="7"/>
      <c r="Q166" s="7"/>
      <c r="R166" s="7"/>
    </row>
    <row r="167" spans="12:18" x14ac:dyDescent="0.2">
      <c r="L167" s="6"/>
      <c r="M167" s="7"/>
      <c r="N167" s="7"/>
      <c r="O167" s="7"/>
      <c r="P167" s="7"/>
      <c r="Q167" s="7"/>
      <c r="R167" s="7"/>
    </row>
    <row r="168" spans="12:18" x14ac:dyDescent="0.2">
      <c r="L168" s="6"/>
      <c r="M168" s="7"/>
      <c r="N168" s="7"/>
      <c r="O168" s="7"/>
      <c r="P168" s="7"/>
      <c r="Q168" s="7"/>
      <c r="R168" s="7"/>
    </row>
    <row r="169" spans="12:18" x14ac:dyDescent="0.2">
      <c r="L169" s="6"/>
      <c r="M169" s="7"/>
      <c r="N169" s="7"/>
      <c r="O169" s="7"/>
      <c r="P169" s="7"/>
      <c r="Q169" s="7"/>
      <c r="R169" s="7"/>
    </row>
    <row r="170" spans="12:18" x14ac:dyDescent="0.2">
      <c r="L170" s="6"/>
      <c r="M170" s="7"/>
      <c r="N170" s="7"/>
      <c r="O170" s="7"/>
      <c r="P170" s="7"/>
      <c r="Q170" s="7"/>
      <c r="R170" s="7"/>
    </row>
    <row r="171" spans="12:18" x14ac:dyDescent="0.2">
      <c r="L171" s="6"/>
      <c r="M171" s="7"/>
      <c r="N171" s="7"/>
      <c r="O171" s="7"/>
      <c r="P171" s="7"/>
      <c r="Q171" s="7"/>
      <c r="R171" s="7"/>
    </row>
    <row r="172" spans="12:18" x14ac:dyDescent="0.2">
      <c r="L172" s="6"/>
      <c r="M172" s="7"/>
      <c r="N172" s="7"/>
      <c r="O172" s="7"/>
      <c r="P172" s="7"/>
      <c r="Q172" s="7"/>
      <c r="R172" s="7"/>
    </row>
    <row r="173" spans="12:18" x14ac:dyDescent="0.2">
      <c r="L173" s="6"/>
      <c r="M173" s="7"/>
      <c r="N173" s="7"/>
      <c r="O173" s="7"/>
      <c r="P173" s="7"/>
      <c r="Q173" s="7"/>
      <c r="R173" s="7"/>
    </row>
    <row r="174" spans="12:18" x14ac:dyDescent="0.2">
      <c r="L174" s="6"/>
      <c r="M174" s="7"/>
      <c r="N174" s="7"/>
      <c r="O174" s="7"/>
      <c r="P174" s="7"/>
      <c r="Q174" s="7"/>
      <c r="R174" s="7"/>
    </row>
    <row r="175" spans="12:18" x14ac:dyDescent="0.2">
      <c r="L175" s="6"/>
      <c r="M175" s="7"/>
      <c r="N175" s="7"/>
      <c r="O175" s="7"/>
      <c r="P175" s="7"/>
      <c r="Q175" s="7"/>
      <c r="R175" s="7"/>
    </row>
    <row r="176" spans="12:18" x14ac:dyDescent="0.2">
      <c r="L176" s="6"/>
      <c r="M176" s="7"/>
      <c r="N176" s="7"/>
      <c r="O176" s="7"/>
      <c r="P176" s="7"/>
      <c r="Q176" s="7"/>
      <c r="R176" s="7"/>
    </row>
    <row r="177" spans="12:18" x14ac:dyDescent="0.2">
      <c r="L177" s="6"/>
      <c r="M177" s="7"/>
      <c r="N177" s="7"/>
      <c r="O177" s="7"/>
      <c r="P177" s="7"/>
      <c r="Q177" s="7"/>
      <c r="R177" s="7"/>
    </row>
    <row r="178" spans="12:18" x14ac:dyDescent="0.2">
      <c r="L178" s="6"/>
      <c r="M178" s="7"/>
      <c r="N178" s="7"/>
      <c r="O178" s="7"/>
      <c r="P178" s="7"/>
      <c r="Q178" s="7"/>
      <c r="R178" s="7"/>
    </row>
    <row r="179" spans="12:18" x14ac:dyDescent="0.2">
      <c r="L179" s="6"/>
      <c r="M179" s="7"/>
      <c r="N179" s="7"/>
      <c r="O179" s="7"/>
      <c r="P179" s="7"/>
      <c r="Q179" s="7"/>
      <c r="R179" s="7"/>
    </row>
    <row r="180" spans="12:18" x14ac:dyDescent="0.2">
      <c r="L180" s="6"/>
      <c r="M180" s="7"/>
      <c r="N180" s="7"/>
      <c r="O180" s="7"/>
      <c r="P180" s="7"/>
      <c r="Q180" s="7"/>
      <c r="R180" s="7"/>
    </row>
    <row r="181" spans="12:18" x14ac:dyDescent="0.2">
      <c r="L181" s="6"/>
      <c r="M181" s="7"/>
      <c r="N181" s="7"/>
      <c r="O181" s="7"/>
      <c r="P181" s="7"/>
      <c r="Q181" s="7"/>
      <c r="R181" s="7"/>
    </row>
    <row r="182" spans="12:18" x14ac:dyDescent="0.2">
      <c r="L182" s="6"/>
      <c r="M182" s="7"/>
      <c r="N182" s="7"/>
      <c r="O182" s="7"/>
      <c r="P182" s="7"/>
      <c r="Q182" s="7"/>
      <c r="R182" s="7"/>
    </row>
    <row r="183" spans="12:18" x14ac:dyDescent="0.2">
      <c r="L183" s="6"/>
      <c r="M183" s="7"/>
      <c r="N183" s="7"/>
      <c r="O183" s="7"/>
      <c r="P183" s="7"/>
      <c r="Q183" s="7"/>
      <c r="R183" s="7"/>
    </row>
    <row r="184" spans="12:18" x14ac:dyDescent="0.2">
      <c r="L184" s="6"/>
      <c r="M184" s="7"/>
      <c r="N184" s="7"/>
      <c r="O184" s="7"/>
      <c r="P184" s="7"/>
      <c r="Q184" s="7"/>
      <c r="R184" s="7"/>
    </row>
    <row r="185" spans="12:18" x14ac:dyDescent="0.2">
      <c r="L185" s="6"/>
      <c r="M185" s="7"/>
      <c r="N185" s="7"/>
      <c r="O185" s="7"/>
      <c r="P185" s="7"/>
      <c r="Q185" s="7"/>
      <c r="R185" s="7"/>
    </row>
    <row r="186" spans="12:18" x14ac:dyDescent="0.2">
      <c r="L186" s="6"/>
      <c r="M186" s="7"/>
      <c r="N186" s="7"/>
      <c r="O186" s="7"/>
      <c r="P186" s="7"/>
      <c r="Q186" s="7"/>
      <c r="R186" s="7"/>
    </row>
    <row r="187" spans="12:18" x14ac:dyDescent="0.2">
      <c r="L187" s="6"/>
      <c r="M187" s="7"/>
      <c r="N187" s="7"/>
      <c r="O187" s="7"/>
      <c r="P187" s="7"/>
      <c r="Q187" s="7"/>
      <c r="R187" s="7"/>
    </row>
    <row r="188" spans="12:18" x14ac:dyDescent="0.2">
      <c r="L188" s="6"/>
      <c r="M188" s="7"/>
      <c r="N188" s="7"/>
      <c r="O188" s="7"/>
      <c r="P188" s="7"/>
      <c r="Q188" s="7"/>
      <c r="R188" s="7"/>
    </row>
    <row r="189" spans="12:18" x14ac:dyDescent="0.2">
      <c r="L189" s="6"/>
      <c r="M189" s="7"/>
      <c r="N189" s="7"/>
      <c r="O189" s="7"/>
      <c r="P189" s="7"/>
      <c r="Q189" s="7"/>
      <c r="R189" s="7"/>
    </row>
    <row r="190" spans="12:18" x14ac:dyDescent="0.2">
      <c r="L190" s="6"/>
      <c r="M190" s="7"/>
      <c r="N190" s="7"/>
      <c r="O190" s="7"/>
      <c r="P190" s="7"/>
      <c r="Q190" s="7"/>
      <c r="R190" s="7"/>
    </row>
    <row r="191" spans="12:18" x14ac:dyDescent="0.2">
      <c r="L191" s="6"/>
      <c r="M191" s="7"/>
      <c r="N191" s="7"/>
      <c r="O191" s="7"/>
      <c r="P191" s="7"/>
      <c r="Q191" s="7"/>
      <c r="R191" s="7"/>
    </row>
    <row r="192" spans="12:18" x14ac:dyDescent="0.2">
      <c r="L192" s="6"/>
      <c r="M192" s="7"/>
      <c r="N192" s="7"/>
      <c r="O192" s="7"/>
      <c r="P192" s="7"/>
      <c r="Q192" s="7"/>
      <c r="R192" s="7"/>
    </row>
    <row r="193" spans="12:18" x14ac:dyDescent="0.2">
      <c r="L193" s="6"/>
      <c r="M193" s="7"/>
      <c r="N193" s="7"/>
      <c r="O193" s="7"/>
      <c r="P193" s="7"/>
      <c r="Q193" s="7"/>
      <c r="R193" s="7"/>
    </row>
    <row r="194" spans="12:18" x14ac:dyDescent="0.2">
      <c r="L194" s="6"/>
      <c r="M194" s="7"/>
      <c r="N194" s="7"/>
      <c r="O194" s="7"/>
      <c r="P194" s="7"/>
      <c r="Q194" s="7"/>
      <c r="R194" s="7"/>
    </row>
    <row r="195" spans="12:18" x14ac:dyDescent="0.2">
      <c r="L195" s="6"/>
      <c r="M195" s="7"/>
      <c r="N195" s="7"/>
      <c r="O195" s="7"/>
      <c r="P195" s="7"/>
      <c r="Q195" s="7"/>
      <c r="R195" s="7"/>
    </row>
    <row r="196" spans="12:18" x14ac:dyDescent="0.2">
      <c r="L196" s="6"/>
      <c r="M196" s="7"/>
      <c r="N196" s="7"/>
      <c r="O196" s="7"/>
      <c r="P196" s="7"/>
      <c r="Q196" s="7"/>
      <c r="R196" s="7"/>
    </row>
    <row r="197" spans="12:18" x14ac:dyDescent="0.2">
      <c r="L197" s="6"/>
      <c r="M197" s="7"/>
      <c r="N197" s="7"/>
      <c r="O197" s="7"/>
      <c r="P197" s="7"/>
      <c r="Q197" s="7"/>
      <c r="R197" s="7"/>
    </row>
    <row r="198" spans="12:18" x14ac:dyDescent="0.2">
      <c r="L198" s="6"/>
      <c r="M198" s="7"/>
      <c r="N198" s="7"/>
      <c r="O198" s="7"/>
      <c r="P198" s="7"/>
      <c r="Q198" s="7"/>
      <c r="R198" s="7"/>
    </row>
    <row r="199" spans="12:18" x14ac:dyDescent="0.2">
      <c r="L199" s="6"/>
      <c r="M199" s="7"/>
      <c r="N199" s="7"/>
      <c r="O199" s="7"/>
      <c r="P199" s="7"/>
      <c r="Q199" s="7"/>
      <c r="R199" s="7"/>
    </row>
    <row r="200" spans="12:18" x14ac:dyDescent="0.2">
      <c r="L200" s="6"/>
      <c r="M200" s="7"/>
      <c r="N200" s="7"/>
      <c r="O200" s="7"/>
      <c r="P200" s="7"/>
      <c r="Q200" s="7"/>
      <c r="R200" s="7"/>
    </row>
    <row r="201" spans="12:18" x14ac:dyDescent="0.2">
      <c r="L201" s="6"/>
      <c r="M201" s="7"/>
      <c r="N201" s="7"/>
      <c r="O201" s="7"/>
      <c r="P201" s="7"/>
      <c r="Q201" s="7"/>
      <c r="R201" s="7"/>
    </row>
    <row r="202" spans="12:18" x14ac:dyDescent="0.2">
      <c r="L202" s="6"/>
      <c r="M202" s="7"/>
      <c r="N202" s="7"/>
      <c r="O202" s="7"/>
      <c r="P202" s="7"/>
      <c r="Q202" s="7"/>
      <c r="R202" s="7"/>
    </row>
    <row r="203" spans="12:18" x14ac:dyDescent="0.2">
      <c r="L203" s="6"/>
      <c r="M203" s="7"/>
      <c r="N203" s="7"/>
      <c r="O203" s="7"/>
      <c r="P203" s="7"/>
      <c r="Q203" s="7"/>
      <c r="R203" s="7"/>
    </row>
    <row r="204" spans="12:18" x14ac:dyDescent="0.2">
      <c r="L204" s="6"/>
      <c r="M204" s="7"/>
      <c r="N204" s="7"/>
      <c r="O204" s="7"/>
      <c r="P204" s="7"/>
      <c r="Q204" s="7"/>
      <c r="R204" s="7"/>
    </row>
    <row r="205" spans="12:18" x14ac:dyDescent="0.2">
      <c r="L205" s="6"/>
      <c r="M205" s="7"/>
      <c r="N205" s="7"/>
      <c r="O205" s="7"/>
      <c r="P205" s="7"/>
      <c r="Q205" s="7"/>
      <c r="R205" s="7"/>
    </row>
    <row r="206" spans="12:18" x14ac:dyDescent="0.2">
      <c r="L206" s="6"/>
      <c r="M206" s="7"/>
      <c r="N206" s="7"/>
      <c r="O206" s="7"/>
      <c r="P206" s="7"/>
      <c r="Q206" s="7"/>
      <c r="R206" s="7"/>
    </row>
    <row r="207" spans="12:18" x14ac:dyDescent="0.2">
      <c r="L207" s="6"/>
      <c r="M207" s="7"/>
      <c r="N207" s="7"/>
      <c r="O207" s="7"/>
      <c r="P207" s="7"/>
      <c r="Q207" s="7"/>
      <c r="R207" s="7"/>
    </row>
    <row r="208" spans="12:18" x14ac:dyDescent="0.2">
      <c r="L208" s="6"/>
      <c r="M208" s="7"/>
      <c r="N208" s="7"/>
      <c r="O208" s="7"/>
      <c r="P208" s="7"/>
      <c r="Q208" s="7"/>
      <c r="R208" s="7"/>
    </row>
    <row r="209" spans="12:18" x14ac:dyDescent="0.2">
      <c r="L209" s="6"/>
      <c r="M209" s="7"/>
      <c r="N209" s="7"/>
      <c r="O209" s="7"/>
      <c r="P209" s="7"/>
      <c r="Q209" s="7"/>
      <c r="R209" s="7"/>
    </row>
    <row r="210" spans="12:18" x14ac:dyDescent="0.2">
      <c r="L210" s="6"/>
      <c r="M210" s="7"/>
      <c r="N210" s="7"/>
      <c r="O210" s="7"/>
      <c r="P210" s="7"/>
      <c r="Q210" s="7"/>
      <c r="R210" s="7"/>
    </row>
    <row r="211" spans="12:18" x14ac:dyDescent="0.2">
      <c r="L211" s="6"/>
      <c r="M211" s="7"/>
      <c r="N211" s="7"/>
      <c r="O211" s="7"/>
      <c r="P211" s="7"/>
      <c r="Q211" s="7"/>
      <c r="R211" s="7"/>
    </row>
    <row r="212" spans="12:18" x14ac:dyDescent="0.2">
      <c r="L212" s="6"/>
      <c r="M212" s="7"/>
      <c r="N212" s="7"/>
      <c r="O212" s="7"/>
      <c r="P212" s="7"/>
      <c r="Q212" s="7"/>
      <c r="R212" s="7"/>
    </row>
    <row r="213" spans="12:18" x14ac:dyDescent="0.2">
      <c r="L213" s="6"/>
      <c r="M213" s="7"/>
      <c r="N213" s="7"/>
      <c r="O213" s="7"/>
      <c r="P213" s="7"/>
      <c r="Q213" s="7"/>
      <c r="R213" s="7"/>
    </row>
    <row r="214" spans="12:18" x14ac:dyDescent="0.2">
      <c r="L214" s="6"/>
      <c r="M214" s="7"/>
      <c r="N214" s="7"/>
      <c r="O214" s="7"/>
      <c r="P214" s="7"/>
      <c r="Q214" s="7"/>
      <c r="R214" s="7"/>
    </row>
    <row r="215" spans="12:18" x14ac:dyDescent="0.2">
      <c r="L215" s="6"/>
      <c r="M215" s="7"/>
      <c r="N215" s="7"/>
      <c r="O215" s="7"/>
      <c r="P215" s="7"/>
      <c r="Q215" s="7"/>
      <c r="R215" s="7"/>
    </row>
    <row r="216" spans="12:18" x14ac:dyDescent="0.2">
      <c r="L216" s="6"/>
      <c r="M216" s="7"/>
      <c r="N216" s="7"/>
      <c r="O216" s="7"/>
      <c r="P216" s="7"/>
      <c r="Q216" s="7"/>
      <c r="R216" s="7"/>
    </row>
    <row r="217" spans="12:18" x14ac:dyDescent="0.2">
      <c r="L217" s="6"/>
      <c r="M217" s="7"/>
      <c r="N217" s="7"/>
      <c r="O217" s="7"/>
      <c r="P217" s="7"/>
      <c r="Q217" s="7"/>
      <c r="R217" s="7"/>
    </row>
    <row r="218" spans="12:18" x14ac:dyDescent="0.2">
      <c r="L218" s="6"/>
      <c r="M218" s="7"/>
      <c r="N218" s="7"/>
      <c r="O218" s="7"/>
      <c r="P218" s="7"/>
      <c r="Q218" s="7"/>
      <c r="R218" s="7"/>
    </row>
    <row r="219" spans="12:18" x14ac:dyDescent="0.2">
      <c r="L219" s="6"/>
      <c r="M219" s="7"/>
      <c r="N219" s="7"/>
      <c r="O219" s="7"/>
      <c r="P219" s="7"/>
      <c r="Q219" s="7"/>
      <c r="R219" s="7"/>
    </row>
    <row r="220" spans="12:18" x14ac:dyDescent="0.2">
      <c r="L220" s="6"/>
      <c r="M220" s="7"/>
      <c r="N220" s="7"/>
      <c r="O220" s="7"/>
      <c r="P220" s="7"/>
      <c r="Q220" s="7"/>
      <c r="R220" s="7"/>
    </row>
    <row r="221" spans="12:18" x14ac:dyDescent="0.2">
      <c r="L221" s="6"/>
      <c r="M221" s="7"/>
      <c r="N221" s="7"/>
      <c r="O221" s="7"/>
      <c r="P221" s="7"/>
      <c r="Q221" s="7"/>
      <c r="R221" s="7"/>
    </row>
    <row r="222" spans="12:18" x14ac:dyDescent="0.2">
      <c r="L222" s="6"/>
      <c r="M222" s="7"/>
      <c r="N222" s="7"/>
      <c r="O222" s="7"/>
      <c r="P222" s="7"/>
      <c r="Q222" s="7"/>
      <c r="R222" s="7"/>
    </row>
    <row r="223" spans="12:18" x14ac:dyDescent="0.2">
      <c r="L223" s="6"/>
      <c r="M223" s="7"/>
      <c r="N223" s="7"/>
      <c r="O223" s="7"/>
      <c r="P223" s="7"/>
      <c r="Q223" s="7"/>
      <c r="R223" s="7"/>
    </row>
    <row r="224" spans="12:18" x14ac:dyDescent="0.2">
      <c r="L224" s="6"/>
      <c r="M224" s="7"/>
      <c r="N224" s="7"/>
      <c r="O224" s="7"/>
      <c r="P224" s="7"/>
      <c r="Q224" s="7"/>
      <c r="R224" s="7"/>
    </row>
    <row r="225" spans="12:18" x14ac:dyDescent="0.2">
      <c r="L225" s="6"/>
      <c r="M225" s="7"/>
      <c r="N225" s="7"/>
      <c r="O225" s="7"/>
      <c r="P225" s="7"/>
      <c r="Q225" s="7"/>
      <c r="R225" s="7"/>
    </row>
    <row r="226" spans="12:18" x14ac:dyDescent="0.2">
      <c r="L226" s="6"/>
      <c r="M226" s="7"/>
      <c r="N226" s="7"/>
      <c r="O226" s="7"/>
      <c r="P226" s="7"/>
      <c r="Q226" s="7"/>
      <c r="R226" s="7"/>
    </row>
    <row r="227" spans="12:18" x14ac:dyDescent="0.2">
      <c r="L227" s="6"/>
      <c r="M227" s="7"/>
      <c r="N227" s="7"/>
      <c r="O227" s="7"/>
      <c r="P227" s="7"/>
      <c r="Q227" s="7"/>
      <c r="R227" s="7"/>
    </row>
    <row r="228" spans="12:18" x14ac:dyDescent="0.2">
      <c r="L228" s="6"/>
      <c r="M228" s="7"/>
      <c r="N228" s="7"/>
      <c r="O228" s="7"/>
      <c r="P228" s="7"/>
      <c r="Q228" s="7"/>
      <c r="R228" s="7"/>
    </row>
    <row r="229" spans="12:18" x14ac:dyDescent="0.2">
      <c r="L229" s="6"/>
      <c r="M229" s="7"/>
      <c r="N229" s="7"/>
      <c r="O229" s="7"/>
      <c r="P229" s="7"/>
      <c r="Q229" s="7"/>
      <c r="R229" s="7"/>
    </row>
    <row r="230" spans="12:18" x14ac:dyDescent="0.2">
      <c r="L230" s="6"/>
      <c r="M230" s="7"/>
      <c r="N230" s="7"/>
      <c r="O230" s="7"/>
      <c r="P230" s="7"/>
      <c r="Q230" s="7"/>
      <c r="R230" s="7"/>
    </row>
    <row r="231" spans="12:18" x14ac:dyDescent="0.2">
      <c r="L231" s="6"/>
      <c r="M231" s="7"/>
      <c r="N231" s="7"/>
      <c r="O231" s="7"/>
      <c r="P231" s="7"/>
      <c r="Q231" s="7"/>
      <c r="R231" s="7"/>
    </row>
    <row r="232" spans="12:18" x14ac:dyDescent="0.2">
      <c r="L232" s="6"/>
      <c r="M232" s="7"/>
      <c r="N232" s="7"/>
      <c r="O232" s="7"/>
      <c r="P232" s="7"/>
      <c r="Q232" s="7"/>
      <c r="R232" s="7"/>
    </row>
    <row r="233" spans="12:18" x14ac:dyDescent="0.2">
      <c r="L233" s="6"/>
      <c r="M233" s="7"/>
      <c r="N233" s="7"/>
      <c r="O233" s="7"/>
      <c r="P233" s="7"/>
      <c r="Q233" s="7"/>
      <c r="R233" s="7"/>
    </row>
    <row r="234" spans="12:18" x14ac:dyDescent="0.2">
      <c r="L234" s="6"/>
      <c r="M234" s="7"/>
      <c r="N234" s="7"/>
      <c r="O234" s="7"/>
      <c r="P234" s="7"/>
      <c r="Q234" s="7"/>
      <c r="R234" s="7"/>
    </row>
    <row r="235" spans="12:18" x14ac:dyDescent="0.2">
      <c r="L235" s="6"/>
      <c r="M235" s="7"/>
      <c r="N235" s="7"/>
      <c r="O235" s="7"/>
      <c r="P235" s="7"/>
      <c r="Q235" s="7"/>
      <c r="R235" s="7"/>
    </row>
    <row r="236" spans="12:18" x14ac:dyDescent="0.2">
      <c r="L236" s="6"/>
      <c r="M236" s="7"/>
      <c r="N236" s="7"/>
      <c r="O236" s="7"/>
      <c r="P236" s="7"/>
      <c r="Q236" s="7"/>
      <c r="R236" s="7"/>
    </row>
    <row r="237" spans="12:18" x14ac:dyDescent="0.2">
      <c r="L237" s="6"/>
      <c r="M237" s="7"/>
      <c r="N237" s="7"/>
      <c r="O237" s="7"/>
      <c r="P237" s="7"/>
      <c r="Q237" s="7"/>
      <c r="R237" s="7"/>
    </row>
    <row r="238" spans="12:18" x14ac:dyDescent="0.2">
      <c r="L238" s="6"/>
      <c r="M238" s="7"/>
      <c r="N238" s="7"/>
      <c r="O238" s="7"/>
      <c r="P238" s="7"/>
      <c r="Q238" s="7"/>
      <c r="R238" s="7"/>
    </row>
    <row r="239" spans="12:18" x14ac:dyDescent="0.2">
      <c r="L239" s="6"/>
      <c r="M239" s="7"/>
      <c r="N239" s="7"/>
      <c r="O239" s="7"/>
      <c r="P239" s="7"/>
      <c r="Q239" s="7"/>
      <c r="R239" s="7"/>
    </row>
    <row r="240" spans="12:18" x14ac:dyDescent="0.2">
      <c r="L240" s="6"/>
      <c r="M240" s="7"/>
      <c r="N240" s="7"/>
      <c r="O240" s="7"/>
      <c r="P240" s="7"/>
      <c r="Q240" s="7"/>
      <c r="R240" s="7"/>
    </row>
    <row r="241" spans="12:18" x14ac:dyDescent="0.2">
      <c r="L241" s="6"/>
      <c r="M241" s="7"/>
      <c r="N241" s="7"/>
      <c r="O241" s="7"/>
      <c r="P241" s="7"/>
      <c r="Q241" s="7"/>
      <c r="R241" s="7"/>
    </row>
    <row r="242" spans="12:18" x14ac:dyDescent="0.2">
      <c r="L242" s="6"/>
      <c r="M242" s="7"/>
      <c r="N242" s="7"/>
      <c r="O242" s="7"/>
      <c r="P242" s="7"/>
      <c r="Q242" s="7"/>
      <c r="R242" s="7"/>
    </row>
    <row r="243" spans="12:18" x14ac:dyDescent="0.2">
      <c r="L243" s="6"/>
      <c r="M243" s="7"/>
      <c r="N243" s="7"/>
      <c r="O243" s="7"/>
      <c r="P243" s="7"/>
      <c r="Q243" s="7"/>
      <c r="R243" s="7"/>
    </row>
    <row r="244" spans="12:18" x14ac:dyDescent="0.2">
      <c r="L244" s="6"/>
      <c r="M244" s="7"/>
      <c r="N244" s="7"/>
      <c r="O244" s="7"/>
      <c r="P244" s="7"/>
      <c r="Q244" s="7"/>
      <c r="R244" s="7"/>
    </row>
    <row r="245" spans="12:18" x14ac:dyDescent="0.2">
      <c r="L245" s="6"/>
      <c r="M245" s="7"/>
      <c r="N245" s="7"/>
      <c r="O245" s="7"/>
      <c r="P245" s="7"/>
      <c r="Q245" s="7"/>
      <c r="R245" s="7"/>
    </row>
    <row r="246" spans="12:18" x14ac:dyDescent="0.2">
      <c r="L246" s="6"/>
      <c r="M246" s="7"/>
      <c r="N246" s="7"/>
      <c r="O246" s="7"/>
      <c r="P246" s="7"/>
      <c r="Q246" s="7"/>
      <c r="R246" s="7"/>
    </row>
    <row r="247" spans="12:18" x14ac:dyDescent="0.2">
      <c r="L247" s="6"/>
      <c r="M247" s="7"/>
      <c r="N247" s="7"/>
      <c r="O247" s="7"/>
      <c r="P247" s="7"/>
      <c r="Q247" s="7"/>
      <c r="R247" s="7"/>
    </row>
    <row r="248" spans="12:18" x14ac:dyDescent="0.2">
      <c r="L248" s="6"/>
      <c r="M248" s="7"/>
      <c r="N248" s="7"/>
      <c r="O248" s="7"/>
      <c r="P248" s="7"/>
      <c r="Q248" s="7"/>
      <c r="R248" s="7"/>
    </row>
    <row r="249" spans="12:18" x14ac:dyDescent="0.2">
      <c r="L249" s="6"/>
      <c r="M249" s="7"/>
      <c r="N249" s="7"/>
      <c r="O249" s="7"/>
      <c r="P249" s="7"/>
      <c r="Q249" s="7"/>
      <c r="R249" s="7"/>
    </row>
    <row r="250" spans="12:18" x14ac:dyDescent="0.2">
      <c r="L250" s="6"/>
      <c r="M250" s="7"/>
      <c r="N250" s="7"/>
      <c r="O250" s="7"/>
      <c r="P250" s="7"/>
      <c r="Q250" s="7"/>
      <c r="R250" s="7"/>
    </row>
    <row r="251" spans="12:18" x14ac:dyDescent="0.2">
      <c r="L251" s="6"/>
      <c r="M251" s="7"/>
      <c r="N251" s="7"/>
      <c r="O251" s="7"/>
      <c r="P251" s="7"/>
      <c r="Q251" s="7"/>
      <c r="R251" s="7"/>
    </row>
    <row r="252" spans="12:18" x14ac:dyDescent="0.2">
      <c r="L252" s="6"/>
      <c r="M252" s="7"/>
      <c r="N252" s="7"/>
      <c r="O252" s="7"/>
      <c r="P252" s="7"/>
      <c r="Q252" s="7"/>
      <c r="R252" s="7"/>
    </row>
    <row r="253" spans="12:18" x14ac:dyDescent="0.2">
      <c r="L253" s="6"/>
      <c r="M253" s="7"/>
      <c r="N253" s="7"/>
      <c r="O253" s="7"/>
      <c r="P253" s="7"/>
      <c r="Q253" s="7"/>
      <c r="R253" s="7"/>
    </row>
    <row r="254" spans="12:18" x14ac:dyDescent="0.2">
      <c r="L254" s="6"/>
      <c r="M254" s="7"/>
      <c r="N254" s="7"/>
      <c r="O254" s="7"/>
      <c r="P254" s="7"/>
      <c r="Q254" s="7"/>
      <c r="R254" s="7"/>
    </row>
    <row r="255" spans="12:18" x14ac:dyDescent="0.2">
      <c r="L255" s="6"/>
      <c r="M255" s="7"/>
      <c r="N255" s="7"/>
      <c r="O255" s="7"/>
      <c r="P255" s="7"/>
      <c r="Q255" s="7"/>
      <c r="R255" s="7"/>
    </row>
    <row r="256" spans="12:18" x14ac:dyDescent="0.2">
      <c r="L256" s="6"/>
      <c r="M256" s="7"/>
      <c r="N256" s="7"/>
      <c r="O256" s="7"/>
      <c r="P256" s="7"/>
      <c r="Q256" s="7"/>
      <c r="R256" s="7"/>
    </row>
    <row r="257" spans="12:18" x14ac:dyDescent="0.2">
      <c r="L257" s="6"/>
      <c r="M257" s="7"/>
      <c r="N257" s="7"/>
      <c r="O257" s="7"/>
      <c r="P257" s="7"/>
      <c r="Q257" s="7"/>
      <c r="R257" s="7"/>
    </row>
    <row r="258" spans="12:18" x14ac:dyDescent="0.2">
      <c r="L258" s="6"/>
      <c r="M258" s="7"/>
      <c r="N258" s="7"/>
      <c r="O258" s="7"/>
      <c r="P258" s="7"/>
      <c r="Q258" s="7"/>
      <c r="R258" s="7"/>
    </row>
    <row r="259" spans="12:18" x14ac:dyDescent="0.2">
      <c r="L259" s="6"/>
      <c r="M259" s="7"/>
      <c r="N259" s="7"/>
      <c r="O259" s="7"/>
      <c r="P259" s="7"/>
      <c r="Q259" s="7"/>
      <c r="R259" s="7"/>
    </row>
    <row r="260" spans="12:18" x14ac:dyDescent="0.2">
      <c r="L260" s="6"/>
      <c r="M260" s="7"/>
      <c r="N260" s="7"/>
      <c r="O260" s="7"/>
      <c r="P260" s="7"/>
      <c r="Q260" s="7"/>
      <c r="R260" s="7"/>
    </row>
    <row r="261" spans="12:18" x14ac:dyDescent="0.2">
      <c r="L261" s="6"/>
      <c r="M261" s="7"/>
      <c r="N261" s="7"/>
      <c r="O261" s="7"/>
      <c r="P261" s="7"/>
      <c r="Q261" s="7"/>
      <c r="R261" s="7"/>
    </row>
    <row r="262" spans="12:18" x14ac:dyDescent="0.2">
      <c r="L262" s="6"/>
      <c r="M262" s="7"/>
      <c r="N262" s="7"/>
      <c r="O262" s="7"/>
      <c r="P262" s="7"/>
      <c r="Q262" s="7"/>
      <c r="R262" s="7"/>
    </row>
    <row r="263" spans="12:18" x14ac:dyDescent="0.2">
      <c r="L263" s="6"/>
      <c r="M263" s="7"/>
      <c r="N263" s="7"/>
      <c r="O263" s="7"/>
      <c r="P263" s="7"/>
      <c r="Q263" s="7"/>
      <c r="R263" s="7"/>
    </row>
    <row r="264" spans="12:18" x14ac:dyDescent="0.2">
      <c r="L264" s="6"/>
      <c r="M264" s="7"/>
      <c r="N264" s="7"/>
      <c r="O264" s="7"/>
      <c r="P264" s="7"/>
      <c r="Q264" s="7"/>
      <c r="R264" s="7"/>
    </row>
    <row r="265" spans="12:18" x14ac:dyDescent="0.2">
      <c r="L265" s="6"/>
      <c r="M265" s="7"/>
      <c r="N265" s="7"/>
      <c r="O265" s="7"/>
      <c r="P265" s="7"/>
      <c r="Q265" s="7"/>
      <c r="R265" s="7"/>
    </row>
    <row r="266" spans="12:18" x14ac:dyDescent="0.2">
      <c r="L266" s="6"/>
      <c r="M266" s="7"/>
      <c r="N266" s="7"/>
      <c r="O266" s="7"/>
      <c r="P266" s="7"/>
      <c r="Q266" s="7"/>
      <c r="R266" s="7"/>
    </row>
    <row r="267" spans="12:18" x14ac:dyDescent="0.2">
      <c r="L267" s="6"/>
      <c r="M267" s="7"/>
      <c r="N267" s="7"/>
      <c r="O267" s="7"/>
      <c r="P267" s="7"/>
      <c r="Q267" s="7"/>
      <c r="R267" s="7"/>
    </row>
    <row r="268" spans="12:18" x14ac:dyDescent="0.2">
      <c r="L268" s="6"/>
      <c r="M268" s="7"/>
      <c r="N268" s="7"/>
      <c r="O268" s="7"/>
      <c r="P268" s="7"/>
      <c r="Q268" s="7"/>
      <c r="R268" s="7"/>
    </row>
    <row r="269" spans="12:18" x14ac:dyDescent="0.2">
      <c r="L269" s="6"/>
      <c r="M269" s="7"/>
      <c r="N269" s="7"/>
      <c r="O269" s="7"/>
      <c r="P269" s="7"/>
      <c r="Q269" s="7"/>
      <c r="R269" s="7"/>
    </row>
    <row r="270" spans="12:18" x14ac:dyDescent="0.2">
      <c r="L270" s="6"/>
      <c r="M270" s="7"/>
      <c r="N270" s="7"/>
      <c r="O270" s="7"/>
      <c r="P270" s="7"/>
      <c r="Q270" s="7"/>
      <c r="R270" s="7"/>
    </row>
    <row r="271" spans="12:18" x14ac:dyDescent="0.2">
      <c r="L271" s="6"/>
      <c r="M271" s="7"/>
      <c r="N271" s="7"/>
      <c r="O271" s="7"/>
      <c r="P271" s="7"/>
      <c r="Q271" s="7"/>
      <c r="R271" s="7"/>
    </row>
    <row r="272" spans="12:18" x14ac:dyDescent="0.2">
      <c r="L272" s="6"/>
      <c r="M272" s="7"/>
      <c r="N272" s="7"/>
      <c r="O272" s="7"/>
      <c r="P272" s="7"/>
      <c r="Q272" s="7"/>
      <c r="R272" s="7"/>
    </row>
    <row r="273" spans="12:18" x14ac:dyDescent="0.2">
      <c r="L273" s="6"/>
      <c r="M273" s="7"/>
      <c r="N273" s="7"/>
      <c r="O273" s="7"/>
      <c r="P273" s="7"/>
      <c r="Q273" s="7"/>
      <c r="R273" s="7"/>
    </row>
    <row r="274" spans="12:18" x14ac:dyDescent="0.2">
      <c r="L274" s="6"/>
      <c r="M274" s="7"/>
      <c r="N274" s="7"/>
      <c r="O274" s="7"/>
      <c r="P274" s="7"/>
      <c r="Q274" s="7"/>
      <c r="R274" s="7"/>
    </row>
    <row r="275" spans="12:18" x14ac:dyDescent="0.2">
      <c r="L275" s="6"/>
      <c r="M275" s="7"/>
      <c r="N275" s="7"/>
      <c r="O275" s="7"/>
      <c r="P275" s="7"/>
      <c r="Q275" s="7"/>
      <c r="R275" s="7"/>
    </row>
    <row r="276" spans="12:18" x14ac:dyDescent="0.2">
      <c r="L276" s="6"/>
      <c r="M276" s="7"/>
      <c r="N276" s="7"/>
      <c r="O276" s="7"/>
      <c r="P276" s="7"/>
      <c r="Q276" s="7"/>
      <c r="R276" s="7"/>
    </row>
    <row r="277" spans="12:18" x14ac:dyDescent="0.2">
      <c r="L277" s="6"/>
      <c r="M277" s="7"/>
      <c r="N277" s="7"/>
      <c r="O277" s="7"/>
      <c r="P277" s="7"/>
      <c r="Q277" s="7"/>
      <c r="R277" s="7"/>
    </row>
    <row r="278" spans="12:18" x14ac:dyDescent="0.2">
      <c r="L278" s="6"/>
      <c r="M278" s="7"/>
      <c r="N278" s="7"/>
      <c r="O278" s="7"/>
      <c r="P278" s="7"/>
      <c r="Q278" s="7"/>
      <c r="R278" s="7"/>
    </row>
    <row r="279" spans="12:18" x14ac:dyDescent="0.2">
      <c r="L279" s="6"/>
      <c r="M279" s="7"/>
      <c r="N279" s="7"/>
      <c r="O279" s="7"/>
      <c r="P279" s="7"/>
      <c r="Q279" s="7"/>
      <c r="R279" s="7"/>
    </row>
    <row r="280" spans="12:18" x14ac:dyDescent="0.2">
      <c r="L280" s="6"/>
      <c r="M280" s="7"/>
      <c r="N280" s="7"/>
      <c r="O280" s="7"/>
      <c r="P280" s="7"/>
      <c r="Q280" s="7"/>
      <c r="R280" s="7"/>
    </row>
    <row r="281" spans="12:18" x14ac:dyDescent="0.2">
      <c r="L281" s="6"/>
      <c r="M281" s="7"/>
      <c r="N281" s="7"/>
      <c r="O281" s="7"/>
      <c r="P281" s="7"/>
      <c r="Q281" s="7"/>
      <c r="R281" s="7"/>
    </row>
    <row r="282" spans="12:18" x14ac:dyDescent="0.2">
      <c r="L282" s="6"/>
      <c r="M282" s="7"/>
      <c r="N282" s="7"/>
      <c r="O282" s="7"/>
      <c r="P282" s="7"/>
      <c r="Q282" s="7"/>
      <c r="R282" s="7"/>
    </row>
    <row r="283" spans="12:18" x14ac:dyDescent="0.2">
      <c r="L283" s="6"/>
      <c r="M283" s="7"/>
      <c r="N283" s="7"/>
      <c r="O283" s="7"/>
      <c r="P283" s="7"/>
      <c r="Q283" s="7"/>
      <c r="R283" s="7"/>
    </row>
    <row r="284" spans="12:18" x14ac:dyDescent="0.2">
      <c r="L284" s="6"/>
      <c r="M284" s="7"/>
      <c r="N284" s="7"/>
      <c r="O284" s="7"/>
      <c r="P284" s="7"/>
      <c r="Q284" s="7"/>
      <c r="R284" s="7"/>
    </row>
    <row r="285" spans="12:18" x14ac:dyDescent="0.2">
      <c r="L285" s="6"/>
      <c r="M285" s="7"/>
      <c r="N285" s="7"/>
      <c r="O285" s="7"/>
      <c r="P285" s="7"/>
      <c r="Q285" s="7"/>
      <c r="R285" s="7"/>
    </row>
    <row r="286" spans="12:18" x14ac:dyDescent="0.2">
      <c r="L286" s="6"/>
      <c r="M286" s="7"/>
      <c r="N286" s="7"/>
      <c r="O286" s="7"/>
      <c r="P286" s="7"/>
      <c r="Q286" s="7"/>
      <c r="R286" s="7"/>
    </row>
    <row r="287" spans="12:18" x14ac:dyDescent="0.2">
      <c r="L287" s="6"/>
      <c r="M287" s="7"/>
      <c r="N287" s="7"/>
      <c r="O287" s="7"/>
      <c r="P287" s="7"/>
      <c r="Q287" s="7"/>
      <c r="R287" s="7"/>
    </row>
    <row r="288" spans="12:18" x14ac:dyDescent="0.2">
      <c r="L288" s="6"/>
      <c r="M288" s="7"/>
      <c r="N288" s="7"/>
      <c r="O288" s="7"/>
      <c r="P288" s="7"/>
      <c r="Q288" s="7"/>
      <c r="R288" s="7"/>
    </row>
    <row r="289" spans="12:18" x14ac:dyDescent="0.2">
      <c r="L289" s="6"/>
      <c r="M289" s="7"/>
      <c r="N289" s="7"/>
      <c r="O289" s="7"/>
      <c r="P289" s="7"/>
      <c r="Q289" s="7"/>
      <c r="R289" s="7"/>
    </row>
    <row r="290" spans="12:18" x14ac:dyDescent="0.2">
      <c r="L290" s="6"/>
      <c r="M290" s="7"/>
      <c r="N290" s="7"/>
      <c r="O290" s="7"/>
      <c r="P290" s="7"/>
      <c r="Q290" s="7"/>
      <c r="R290" s="7"/>
    </row>
    <row r="291" spans="12:18" x14ac:dyDescent="0.2">
      <c r="L291" s="6"/>
      <c r="M291" s="7"/>
      <c r="N291" s="7"/>
      <c r="O291" s="7"/>
      <c r="P291" s="7"/>
      <c r="Q291" s="7"/>
      <c r="R291" s="7"/>
    </row>
    <row r="292" spans="12:18" x14ac:dyDescent="0.2">
      <c r="L292" s="6"/>
      <c r="M292" s="7"/>
      <c r="N292" s="7"/>
      <c r="O292" s="7"/>
      <c r="P292" s="7"/>
      <c r="Q292" s="7"/>
      <c r="R292" s="7"/>
    </row>
    <row r="293" spans="12:18" x14ac:dyDescent="0.2">
      <c r="L293" s="6"/>
      <c r="M293" s="7"/>
      <c r="N293" s="7"/>
      <c r="O293" s="7"/>
      <c r="P293" s="7"/>
      <c r="Q293" s="7"/>
      <c r="R293" s="7"/>
    </row>
    <row r="294" spans="12:18" x14ac:dyDescent="0.2">
      <c r="L294" s="6"/>
      <c r="M294" s="7"/>
      <c r="N294" s="7"/>
      <c r="O294" s="7"/>
      <c r="P294" s="7"/>
      <c r="Q294" s="7"/>
      <c r="R294" s="7"/>
    </row>
    <row r="295" spans="12:18" x14ac:dyDescent="0.2">
      <c r="L295" s="6"/>
      <c r="M295" s="7"/>
      <c r="N295" s="7"/>
      <c r="O295" s="7"/>
      <c r="P295" s="7"/>
      <c r="Q295" s="7"/>
      <c r="R295" s="7"/>
    </row>
    <row r="296" spans="12:18" x14ac:dyDescent="0.2">
      <c r="L296" s="6"/>
      <c r="M296" s="7"/>
      <c r="N296" s="7"/>
      <c r="O296" s="7"/>
      <c r="P296" s="7"/>
      <c r="Q296" s="7"/>
      <c r="R296" s="7"/>
    </row>
    <row r="297" spans="12:18" x14ac:dyDescent="0.2">
      <c r="L297" s="6"/>
      <c r="M297" s="7"/>
      <c r="N297" s="7"/>
      <c r="O297" s="7"/>
      <c r="P297" s="7"/>
      <c r="Q297" s="7"/>
      <c r="R297" s="7"/>
    </row>
    <row r="298" spans="12:18" x14ac:dyDescent="0.2">
      <c r="L298" s="6"/>
      <c r="M298" s="7"/>
      <c r="N298" s="7"/>
      <c r="O298" s="7"/>
      <c r="P298" s="7"/>
      <c r="Q298" s="7"/>
      <c r="R298" s="7"/>
    </row>
    <row r="299" spans="12:18" x14ac:dyDescent="0.2">
      <c r="L299" s="6"/>
      <c r="M299" s="7"/>
      <c r="N299" s="7"/>
      <c r="O299" s="7"/>
      <c r="P299" s="7"/>
      <c r="Q299" s="7"/>
      <c r="R299" s="7"/>
    </row>
    <row r="300" spans="12:18" x14ac:dyDescent="0.2">
      <c r="L300" s="6"/>
      <c r="M300" s="7"/>
      <c r="N300" s="7"/>
      <c r="O300" s="7"/>
      <c r="P300" s="7"/>
      <c r="Q300" s="7"/>
      <c r="R300" s="7"/>
    </row>
    <row r="301" spans="12:18" x14ac:dyDescent="0.2">
      <c r="L301" s="6"/>
      <c r="M301" s="7"/>
      <c r="N301" s="7"/>
      <c r="O301" s="7"/>
      <c r="P301" s="7"/>
      <c r="Q301" s="7"/>
      <c r="R301" s="7"/>
    </row>
    <row r="302" spans="12:18" x14ac:dyDescent="0.2">
      <c r="L302" s="6"/>
      <c r="M302" s="7"/>
      <c r="N302" s="7"/>
      <c r="O302" s="7"/>
      <c r="P302" s="7"/>
      <c r="Q302" s="7"/>
      <c r="R302" s="7"/>
    </row>
    <row r="303" spans="12:18" x14ac:dyDescent="0.2">
      <c r="L303" s="6"/>
      <c r="M303" s="7"/>
      <c r="N303" s="7"/>
      <c r="O303" s="7"/>
      <c r="P303" s="7"/>
      <c r="Q303" s="7"/>
      <c r="R303" s="7"/>
    </row>
    <row r="304" spans="12:18" x14ac:dyDescent="0.2">
      <c r="L304" s="6"/>
      <c r="M304" s="7"/>
      <c r="N304" s="7"/>
      <c r="O304" s="7"/>
      <c r="P304" s="7"/>
      <c r="Q304" s="7"/>
      <c r="R304" s="7"/>
    </row>
    <row r="305" spans="12:18" x14ac:dyDescent="0.2">
      <c r="L305" s="6"/>
      <c r="M305" s="7"/>
      <c r="N305" s="7"/>
      <c r="O305" s="7"/>
      <c r="P305" s="7"/>
      <c r="Q305" s="7"/>
      <c r="R305" s="7"/>
    </row>
    <row r="306" spans="12:18" x14ac:dyDescent="0.2">
      <c r="L306" s="6"/>
      <c r="M306" s="7"/>
      <c r="N306" s="7"/>
      <c r="O306" s="7"/>
      <c r="P306" s="7"/>
      <c r="Q306" s="7"/>
      <c r="R306" s="7"/>
    </row>
    <row r="307" spans="12:18" x14ac:dyDescent="0.2">
      <c r="L307" s="6"/>
      <c r="M307" s="7"/>
      <c r="N307" s="7"/>
      <c r="O307" s="7"/>
      <c r="P307" s="7"/>
      <c r="Q307" s="7"/>
      <c r="R307" s="7"/>
    </row>
    <row r="308" spans="12:18" x14ac:dyDescent="0.2">
      <c r="L308" s="6"/>
      <c r="M308" s="7"/>
      <c r="N308" s="7"/>
      <c r="O308" s="7"/>
      <c r="P308" s="7"/>
      <c r="Q308" s="7"/>
      <c r="R308" s="7"/>
    </row>
    <row r="309" spans="12:18" x14ac:dyDescent="0.2">
      <c r="L309" s="6"/>
      <c r="M309" s="7"/>
      <c r="N309" s="7"/>
      <c r="O309" s="7"/>
      <c r="P309" s="7"/>
      <c r="Q309" s="7"/>
      <c r="R309" s="7"/>
    </row>
    <row r="310" spans="12:18" x14ac:dyDescent="0.2">
      <c r="L310" s="6"/>
      <c r="M310" s="7"/>
      <c r="N310" s="7"/>
      <c r="O310" s="7"/>
      <c r="P310" s="7"/>
      <c r="Q310" s="7"/>
      <c r="R310" s="7"/>
    </row>
    <row r="311" spans="12:18" x14ac:dyDescent="0.2">
      <c r="L311" s="6"/>
      <c r="M311" s="7"/>
      <c r="N311" s="7"/>
      <c r="O311" s="7"/>
      <c r="P311" s="7"/>
      <c r="Q311" s="7"/>
      <c r="R311" s="7"/>
    </row>
    <row r="312" spans="12:18" x14ac:dyDescent="0.2">
      <c r="L312" s="6"/>
      <c r="M312" s="7"/>
      <c r="N312" s="7"/>
      <c r="O312" s="7"/>
      <c r="P312" s="7"/>
      <c r="Q312" s="7"/>
      <c r="R312" s="7"/>
    </row>
    <row r="313" spans="12:18" x14ac:dyDescent="0.2">
      <c r="L313" s="6"/>
      <c r="M313" s="7"/>
      <c r="N313" s="7"/>
      <c r="O313" s="7"/>
      <c r="P313" s="7"/>
      <c r="Q313" s="7"/>
      <c r="R313" s="7"/>
    </row>
    <row r="314" spans="12:18" x14ac:dyDescent="0.2">
      <c r="L314" s="6"/>
      <c r="M314" s="7"/>
      <c r="N314" s="7"/>
      <c r="O314" s="7"/>
      <c r="P314" s="7"/>
      <c r="Q314" s="7"/>
      <c r="R314" s="7"/>
    </row>
    <row r="315" spans="12:18" x14ac:dyDescent="0.2">
      <c r="L315" s="6"/>
      <c r="M315" s="7"/>
      <c r="N315" s="7"/>
      <c r="O315" s="7"/>
      <c r="P315" s="7"/>
      <c r="Q315" s="7"/>
      <c r="R315" s="7"/>
    </row>
    <row r="316" spans="12:18" x14ac:dyDescent="0.2">
      <c r="L316" s="6"/>
      <c r="M316" s="7"/>
      <c r="N316" s="7"/>
      <c r="O316" s="7"/>
      <c r="P316" s="7"/>
      <c r="Q316" s="7"/>
      <c r="R316" s="7"/>
    </row>
    <row r="317" spans="12:18" x14ac:dyDescent="0.2">
      <c r="L317" s="6"/>
      <c r="M317" s="7"/>
      <c r="N317" s="7"/>
      <c r="O317" s="7"/>
      <c r="P317" s="7"/>
      <c r="Q317" s="7"/>
      <c r="R317" s="7"/>
    </row>
    <row r="318" spans="12:18" x14ac:dyDescent="0.2">
      <c r="L318" s="6"/>
      <c r="M318" s="7"/>
      <c r="N318" s="7"/>
      <c r="O318" s="7"/>
      <c r="P318" s="7"/>
      <c r="Q318" s="7"/>
      <c r="R318" s="7"/>
    </row>
    <row r="319" spans="12:18" x14ac:dyDescent="0.2">
      <c r="L319" s="6"/>
      <c r="M319" s="7"/>
      <c r="N319" s="7"/>
      <c r="O319" s="7"/>
      <c r="P319" s="7"/>
      <c r="Q319" s="7"/>
      <c r="R319" s="7"/>
    </row>
    <row r="320" spans="12:18" x14ac:dyDescent="0.2">
      <c r="L320" s="6"/>
      <c r="M320" s="7"/>
      <c r="N320" s="7"/>
      <c r="O320" s="7"/>
      <c r="P320" s="7"/>
      <c r="Q320" s="7"/>
      <c r="R320" s="7"/>
    </row>
    <row r="321" spans="12:18" x14ac:dyDescent="0.2">
      <c r="L321" s="6"/>
      <c r="M321" s="7"/>
      <c r="N321" s="7"/>
      <c r="O321" s="7"/>
      <c r="P321" s="7"/>
      <c r="Q321" s="7"/>
      <c r="R321" s="7"/>
    </row>
    <row r="322" spans="12:18" x14ac:dyDescent="0.2">
      <c r="L322" s="6"/>
      <c r="M322" s="7"/>
      <c r="N322" s="7"/>
      <c r="O322" s="7"/>
      <c r="P322" s="7"/>
      <c r="Q322" s="7"/>
      <c r="R322" s="7"/>
    </row>
    <row r="323" spans="12:18" x14ac:dyDescent="0.2">
      <c r="L323" s="6"/>
      <c r="M323" s="7"/>
      <c r="N323" s="7"/>
      <c r="O323" s="7"/>
      <c r="P323" s="7"/>
      <c r="Q323" s="7"/>
      <c r="R323" s="7"/>
    </row>
    <row r="324" spans="12:18" x14ac:dyDescent="0.2">
      <c r="L324" s="6"/>
      <c r="M324" s="7"/>
      <c r="N324" s="7"/>
      <c r="O324" s="7"/>
      <c r="P324" s="7"/>
      <c r="Q324" s="7"/>
      <c r="R324" s="7"/>
    </row>
    <row r="325" spans="12:18" x14ac:dyDescent="0.2">
      <c r="L325" s="6"/>
      <c r="M325" s="7"/>
      <c r="N325" s="7"/>
      <c r="O325" s="7"/>
      <c r="P325" s="7"/>
      <c r="Q325" s="7"/>
      <c r="R325" s="7"/>
    </row>
    <row r="326" spans="12:18" x14ac:dyDescent="0.2">
      <c r="L326" s="6"/>
      <c r="M326" s="7"/>
      <c r="N326" s="7"/>
      <c r="O326" s="7"/>
      <c r="P326" s="7"/>
      <c r="Q326" s="7"/>
      <c r="R326" s="7"/>
    </row>
    <row r="327" spans="12:18" x14ac:dyDescent="0.2">
      <c r="L327" s="6"/>
      <c r="M327" s="7"/>
      <c r="N327" s="7"/>
      <c r="O327" s="7"/>
      <c r="P327" s="7"/>
      <c r="Q327" s="7"/>
      <c r="R327" s="7"/>
    </row>
    <row r="328" spans="12:18" x14ac:dyDescent="0.2">
      <c r="L328" s="6"/>
      <c r="M328" s="7"/>
      <c r="N328" s="7"/>
      <c r="O328" s="7"/>
      <c r="P328" s="7"/>
      <c r="Q328" s="7"/>
      <c r="R328" s="7"/>
    </row>
    <row r="329" spans="12:18" x14ac:dyDescent="0.2">
      <c r="L329" s="6"/>
      <c r="M329" s="7"/>
      <c r="N329" s="7"/>
      <c r="O329" s="7"/>
      <c r="P329" s="7"/>
      <c r="Q329" s="7"/>
      <c r="R329" s="7"/>
    </row>
    <row r="330" spans="12:18" x14ac:dyDescent="0.2">
      <c r="L330" s="6"/>
      <c r="M330" s="7"/>
      <c r="N330" s="7"/>
      <c r="O330" s="7"/>
      <c r="P330" s="7"/>
      <c r="Q330" s="7"/>
      <c r="R330" s="7"/>
    </row>
    <row r="331" spans="12:18" x14ac:dyDescent="0.2">
      <c r="L331" s="6"/>
      <c r="M331" s="7"/>
      <c r="N331" s="7"/>
      <c r="O331" s="7"/>
      <c r="P331" s="7"/>
      <c r="Q331" s="7"/>
      <c r="R331" s="7"/>
    </row>
    <row r="332" spans="12:18" x14ac:dyDescent="0.2">
      <c r="L332" s="6"/>
      <c r="M332" s="7"/>
      <c r="N332" s="7"/>
      <c r="O332" s="7"/>
      <c r="P332" s="7"/>
      <c r="Q332" s="7"/>
      <c r="R332" s="7"/>
    </row>
    <row r="333" spans="12:18" x14ac:dyDescent="0.2">
      <c r="L333" s="6"/>
      <c r="M333" s="7"/>
      <c r="N333" s="7"/>
      <c r="O333" s="7"/>
      <c r="P333" s="7"/>
      <c r="Q333" s="7"/>
      <c r="R333" s="7"/>
    </row>
    <row r="334" spans="12:18" x14ac:dyDescent="0.2">
      <c r="L334" s="6"/>
      <c r="M334" s="7"/>
      <c r="N334" s="7"/>
      <c r="O334" s="7"/>
      <c r="P334" s="7"/>
      <c r="Q334" s="7"/>
      <c r="R334" s="7"/>
    </row>
    <row r="335" spans="12:18" x14ac:dyDescent="0.2">
      <c r="L335" s="6"/>
      <c r="M335" s="7"/>
      <c r="N335" s="7"/>
      <c r="O335" s="7"/>
      <c r="P335" s="7"/>
      <c r="Q335" s="7"/>
      <c r="R335" s="7"/>
    </row>
    <row r="336" spans="12:18" x14ac:dyDescent="0.2">
      <c r="L336" s="6"/>
      <c r="M336" s="7"/>
      <c r="N336" s="7"/>
      <c r="O336" s="7"/>
      <c r="P336" s="7"/>
      <c r="Q336" s="7"/>
      <c r="R336" s="7"/>
    </row>
    <row r="337" spans="12:18" x14ac:dyDescent="0.2">
      <c r="L337" s="6"/>
      <c r="M337" s="7"/>
      <c r="N337" s="7"/>
      <c r="O337" s="7"/>
      <c r="P337" s="7"/>
      <c r="Q337" s="7"/>
      <c r="R337" s="7"/>
    </row>
    <row r="338" spans="12:18" x14ac:dyDescent="0.2">
      <c r="L338" s="6"/>
      <c r="M338" s="7"/>
      <c r="N338" s="7"/>
      <c r="O338" s="7"/>
      <c r="P338" s="7"/>
      <c r="Q338" s="7"/>
      <c r="R338" s="7"/>
    </row>
    <row r="339" spans="12:18" x14ac:dyDescent="0.2">
      <c r="L339" s="6"/>
      <c r="M339" s="7"/>
      <c r="N339" s="7"/>
      <c r="O339" s="7"/>
      <c r="P339" s="7"/>
      <c r="Q339" s="7"/>
      <c r="R339" s="7"/>
    </row>
    <row r="340" spans="12:18" x14ac:dyDescent="0.2">
      <c r="L340" s="6"/>
      <c r="M340" s="7"/>
      <c r="N340" s="7"/>
      <c r="O340" s="7"/>
      <c r="P340" s="7"/>
      <c r="Q340" s="7"/>
      <c r="R340" s="7"/>
    </row>
    <row r="341" spans="12:18" x14ac:dyDescent="0.2">
      <c r="L341" s="6"/>
      <c r="M341" s="7"/>
      <c r="N341" s="7"/>
      <c r="O341" s="7"/>
      <c r="P341" s="7"/>
      <c r="Q341" s="7"/>
      <c r="R341" s="7"/>
    </row>
    <row r="342" spans="12:18" x14ac:dyDescent="0.2">
      <c r="L342" s="6"/>
      <c r="M342" s="7"/>
      <c r="N342" s="7"/>
      <c r="O342" s="7"/>
      <c r="P342" s="7"/>
      <c r="Q342" s="7"/>
      <c r="R342" s="7"/>
    </row>
    <row r="343" spans="12:18" x14ac:dyDescent="0.2">
      <c r="L343" s="6"/>
      <c r="M343" s="7"/>
      <c r="N343" s="7"/>
      <c r="O343" s="7"/>
      <c r="P343" s="7"/>
      <c r="Q343" s="7"/>
      <c r="R343" s="7"/>
    </row>
    <row r="344" spans="12:18" x14ac:dyDescent="0.2">
      <c r="L344" s="6"/>
      <c r="M344" s="7"/>
      <c r="N344" s="7"/>
      <c r="O344" s="7"/>
      <c r="P344" s="7"/>
      <c r="Q344" s="7"/>
      <c r="R344" s="7"/>
    </row>
    <row r="345" spans="12:18" x14ac:dyDescent="0.2">
      <c r="L345" s="6"/>
      <c r="M345" s="7"/>
      <c r="N345" s="7"/>
      <c r="O345" s="7"/>
      <c r="P345" s="7"/>
      <c r="Q345" s="7"/>
      <c r="R345" s="7"/>
    </row>
    <row r="346" spans="12:18" x14ac:dyDescent="0.2">
      <c r="L346" s="6"/>
      <c r="M346" s="7"/>
      <c r="N346" s="7"/>
      <c r="O346" s="7"/>
      <c r="P346" s="7"/>
      <c r="Q346" s="7"/>
      <c r="R346" s="7"/>
    </row>
    <row r="347" spans="12:18" x14ac:dyDescent="0.2">
      <c r="L347" s="6"/>
      <c r="M347" s="7"/>
      <c r="N347" s="7"/>
      <c r="O347" s="7"/>
      <c r="P347" s="7"/>
      <c r="Q347" s="7"/>
      <c r="R347" s="7"/>
    </row>
    <row r="348" spans="12:18" x14ac:dyDescent="0.2">
      <c r="L348" s="6"/>
      <c r="M348" s="7"/>
      <c r="N348" s="7"/>
      <c r="O348" s="7"/>
      <c r="P348" s="7"/>
      <c r="Q348" s="7"/>
      <c r="R348" s="7"/>
    </row>
    <row r="349" spans="12:18" x14ac:dyDescent="0.2">
      <c r="L349" s="6"/>
      <c r="M349" s="7"/>
      <c r="N349" s="7"/>
      <c r="O349" s="7"/>
      <c r="P349" s="7"/>
      <c r="Q349" s="7"/>
      <c r="R349" s="7"/>
    </row>
    <row r="350" spans="12:18" x14ac:dyDescent="0.2">
      <c r="L350" s="6"/>
      <c r="M350" s="7"/>
      <c r="N350" s="7"/>
      <c r="O350" s="7"/>
      <c r="P350" s="7"/>
      <c r="Q350" s="7"/>
      <c r="R350" s="7"/>
    </row>
    <row r="351" spans="12:18" x14ac:dyDescent="0.2">
      <c r="L351" s="6"/>
      <c r="M351" s="7"/>
      <c r="N351" s="7"/>
      <c r="O351" s="7"/>
      <c r="P351" s="7"/>
      <c r="Q351" s="7"/>
      <c r="R351" s="7"/>
    </row>
    <row r="352" spans="12:18" x14ac:dyDescent="0.2">
      <c r="L352" s="6"/>
      <c r="M352" s="7"/>
      <c r="N352" s="7"/>
      <c r="O352" s="7"/>
      <c r="P352" s="7"/>
      <c r="Q352" s="7"/>
      <c r="R352" s="7"/>
    </row>
    <row r="353" spans="12:18" x14ac:dyDescent="0.2">
      <c r="L353" s="6"/>
      <c r="M353" s="7"/>
      <c r="N353" s="7"/>
      <c r="O353" s="7"/>
      <c r="P353" s="7"/>
      <c r="Q353" s="7"/>
      <c r="R353" s="7"/>
    </row>
    <row r="354" spans="12:18" x14ac:dyDescent="0.2">
      <c r="L354" s="6"/>
      <c r="M354" s="7"/>
      <c r="N354" s="7"/>
      <c r="O354" s="7"/>
      <c r="P354" s="7"/>
      <c r="Q354" s="7"/>
      <c r="R354" s="7"/>
    </row>
    <row r="355" spans="12:18" x14ac:dyDescent="0.2">
      <c r="L355" s="6"/>
      <c r="M355" s="7"/>
      <c r="N355" s="7"/>
      <c r="O355" s="7"/>
      <c r="P355" s="7"/>
      <c r="Q355" s="7"/>
      <c r="R355" s="7"/>
    </row>
    <row r="356" spans="12:18" x14ac:dyDescent="0.2">
      <c r="L356" s="6"/>
      <c r="M356" s="7"/>
      <c r="N356" s="7"/>
      <c r="O356" s="7"/>
      <c r="P356" s="7"/>
      <c r="Q356" s="7"/>
      <c r="R356" s="7"/>
    </row>
    <row r="357" spans="12:18" x14ac:dyDescent="0.2">
      <c r="L357" s="6"/>
      <c r="M357" s="7"/>
      <c r="N357" s="7"/>
      <c r="O357" s="7"/>
      <c r="P357" s="7"/>
      <c r="Q357" s="7"/>
      <c r="R357" s="7"/>
    </row>
    <row r="358" spans="12:18" x14ac:dyDescent="0.2">
      <c r="L358" s="6"/>
      <c r="M358" s="7"/>
      <c r="N358" s="7"/>
      <c r="O358" s="7"/>
      <c r="P358" s="7"/>
      <c r="Q358" s="7"/>
      <c r="R358" s="7"/>
    </row>
    <row r="359" spans="12:18" x14ac:dyDescent="0.2">
      <c r="L359" s="6"/>
      <c r="M359" s="7"/>
      <c r="N359" s="7"/>
      <c r="O359" s="7"/>
      <c r="P359" s="7"/>
      <c r="Q359" s="7"/>
      <c r="R359" s="7"/>
    </row>
    <row r="360" spans="12:18" x14ac:dyDescent="0.2">
      <c r="L360" s="6"/>
      <c r="M360" s="7"/>
      <c r="N360" s="7"/>
      <c r="O360" s="7"/>
      <c r="P360" s="7"/>
      <c r="Q360" s="7"/>
      <c r="R360" s="7"/>
    </row>
    <row r="361" spans="12:18" x14ac:dyDescent="0.2">
      <c r="L361" s="6"/>
      <c r="M361" s="7"/>
      <c r="N361" s="7"/>
      <c r="O361" s="7"/>
      <c r="P361" s="7"/>
      <c r="Q361" s="7"/>
      <c r="R361" s="7"/>
    </row>
    <row r="362" spans="12:18" x14ac:dyDescent="0.2">
      <c r="L362" s="6"/>
      <c r="M362" s="7"/>
      <c r="N362" s="7"/>
      <c r="O362" s="7"/>
      <c r="P362" s="7"/>
      <c r="Q362" s="7"/>
      <c r="R362" s="7"/>
    </row>
    <row r="363" spans="12:18" x14ac:dyDescent="0.2">
      <c r="L363" s="6"/>
      <c r="M363" s="7"/>
      <c r="N363" s="7"/>
      <c r="O363" s="7"/>
      <c r="P363" s="7"/>
      <c r="Q363" s="7"/>
      <c r="R363" s="7"/>
    </row>
    <row r="364" spans="12:18" x14ac:dyDescent="0.2">
      <c r="L364" s="6"/>
      <c r="M364" s="7"/>
      <c r="N364" s="7"/>
      <c r="O364" s="7"/>
      <c r="P364" s="7"/>
      <c r="Q364" s="7"/>
      <c r="R364" s="7"/>
    </row>
    <row r="365" spans="12:18" x14ac:dyDescent="0.2">
      <c r="L365" s="6"/>
      <c r="M365" s="7"/>
      <c r="N365" s="7"/>
      <c r="O365" s="7"/>
      <c r="P365" s="7"/>
      <c r="Q365" s="7"/>
      <c r="R365" s="7"/>
    </row>
    <row r="366" spans="12:18" x14ac:dyDescent="0.2">
      <c r="L366" s="6"/>
      <c r="M366" s="7"/>
      <c r="N366" s="7"/>
      <c r="O366" s="7"/>
      <c r="P366" s="7"/>
      <c r="Q366" s="7"/>
      <c r="R366" s="7"/>
    </row>
    <row r="367" spans="12:18" x14ac:dyDescent="0.2">
      <c r="L367" s="6"/>
      <c r="M367" s="7"/>
      <c r="N367" s="7"/>
      <c r="O367" s="7"/>
      <c r="P367" s="7"/>
      <c r="Q367" s="7"/>
      <c r="R367" s="7"/>
    </row>
    <row r="368" spans="12:18" x14ac:dyDescent="0.2">
      <c r="L368" s="6"/>
      <c r="M368" s="7"/>
      <c r="N368" s="7"/>
      <c r="O368" s="7"/>
      <c r="P368" s="7"/>
      <c r="Q368" s="7"/>
      <c r="R368" s="7"/>
    </row>
    <row r="369" spans="12:18" x14ac:dyDescent="0.2">
      <c r="L369" s="6"/>
      <c r="M369" s="7"/>
      <c r="N369" s="7"/>
      <c r="O369" s="7"/>
      <c r="P369" s="7"/>
      <c r="Q369" s="7"/>
      <c r="R369" s="7"/>
    </row>
    <row r="370" spans="12:18" x14ac:dyDescent="0.2">
      <c r="L370" s="6"/>
      <c r="M370" s="7"/>
      <c r="N370" s="7"/>
      <c r="O370" s="7"/>
      <c r="P370" s="7"/>
      <c r="Q370" s="7"/>
      <c r="R370" s="7"/>
    </row>
    <row r="371" spans="12:18" x14ac:dyDescent="0.2">
      <c r="L371" s="6"/>
      <c r="M371" s="7"/>
      <c r="N371" s="7"/>
      <c r="O371" s="7"/>
      <c r="P371" s="7"/>
      <c r="Q371" s="7"/>
      <c r="R371" s="7"/>
    </row>
    <row r="372" spans="12:18" x14ac:dyDescent="0.2">
      <c r="L372" s="6"/>
      <c r="M372" s="7"/>
      <c r="N372" s="7"/>
      <c r="O372" s="7"/>
      <c r="P372" s="7"/>
      <c r="Q372" s="7"/>
      <c r="R372" s="7"/>
    </row>
    <row r="373" spans="12:18" x14ac:dyDescent="0.2">
      <c r="L373" s="6"/>
      <c r="M373" s="7"/>
      <c r="N373" s="7"/>
      <c r="O373" s="7"/>
      <c r="P373" s="7"/>
      <c r="Q373" s="7"/>
      <c r="R373" s="7"/>
    </row>
    <row r="374" spans="12:18" x14ac:dyDescent="0.2">
      <c r="L374" s="6"/>
      <c r="M374" s="7"/>
      <c r="N374" s="7"/>
      <c r="O374" s="7"/>
      <c r="P374" s="7"/>
      <c r="Q374" s="7"/>
      <c r="R374" s="7"/>
    </row>
    <row r="375" spans="12:18" x14ac:dyDescent="0.2">
      <c r="L375" s="6"/>
      <c r="M375" s="7"/>
      <c r="N375" s="7"/>
      <c r="O375" s="7"/>
      <c r="P375" s="7"/>
      <c r="Q375" s="7"/>
      <c r="R375" s="7"/>
    </row>
    <row r="376" spans="12:18" x14ac:dyDescent="0.2">
      <c r="L376" s="6"/>
      <c r="M376" s="7"/>
      <c r="N376" s="7"/>
      <c r="O376" s="7"/>
      <c r="P376" s="7"/>
      <c r="Q376" s="7"/>
      <c r="R376" s="7"/>
    </row>
    <row r="377" spans="12:18" x14ac:dyDescent="0.2">
      <c r="L377" s="6"/>
      <c r="M377" s="7"/>
      <c r="N377" s="7"/>
      <c r="O377" s="7"/>
      <c r="P377" s="7"/>
      <c r="Q377" s="7"/>
      <c r="R377" s="7"/>
    </row>
    <row r="378" spans="12:18" x14ac:dyDescent="0.2">
      <c r="L378" s="6"/>
      <c r="M378" s="7"/>
      <c r="N378" s="7"/>
      <c r="O378" s="7"/>
      <c r="P378" s="7"/>
      <c r="Q378" s="7"/>
      <c r="R378" s="7"/>
    </row>
    <row r="379" spans="12:18" x14ac:dyDescent="0.2">
      <c r="L379" s="6"/>
      <c r="M379" s="7"/>
      <c r="N379" s="7"/>
      <c r="O379" s="7"/>
      <c r="P379" s="7"/>
      <c r="Q379" s="7"/>
      <c r="R379" s="7"/>
    </row>
    <row r="380" spans="12:18" x14ac:dyDescent="0.2">
      <c r="L380" s="6"/>
      <c r="M380" s="7"/>
      <c r="N380" s="7"/>
      <c r="O380" s="7"/>
      <c r="P380" s="7"/>
      <c r="Q380" s="7"/>
      <c r="R380" s="7"/>
    </row>
    <row r="381" spans="12:18" x14ac:dyDescent="0.2">
      <c r="L381" s="6"/>
      <c r="M381" s="7"/>
      <c r="N381" s="7"/>
      <c r="O381" s="7"/>
      <c r="P381" s="7"/>
      <c r="Q381" s="7"/>
      <c r="R381" s="7"/>
    </row>
    <row r="382" spans="12:18" x14ac:dyDescent="0.2">
      <c r="L382" s="6"/>
      <c r="M382" s="7"/>
      <c r="N382" s="7"/>
      <c r="O382" s="7"/>
      <c r="P382" s="7"/>
      <c r="Q382" s="7"/>
      <c r="R382" s="7"/>
    </row>
    <row r="383" spans="12:18" x14ac:dyDescent="0.2">
      <c r="L383" s="6"/>
      <c r="M383" s="7"/>
      <c r="N383" s="7"/>
      <c r="O383" s="7"/>
      <c r="P383" s="7"/>
      <c r="Q383" s="7"/>
      <c r="R383" s="7"/>
    </row>
    <row r="384" spans="12:18" x14ac:dyDescent="0.2">
      <c r="L384" s="6"/>
      <c r="M384" s="7"/>
      <c r="N384" s="7"/>
      <c r="O384" s="7"/>
      <c r="P384" s="7"/>
      <c r="Q384" s="7"/>
      <c r="R384" s="7"/>
    </row>
    <row r="385" spans="12:18" x14ac:dyDescent="0.2">
      <c r="L385" s="6"/>
      <c r="M385" s="7"/>
      <c r="N385" s="7"/>
      <c r="O385" s="7"/>
      <c r="P385" s="7"/>
      <c r="Q385" s="7"/>
      <c r="R385" s="7"/>
    </row>
    <row r="386" spans="12:18" x14ac:dyDescent="0.2">
      <c r="L386" s="6"/>
      <c r="M386" s="7"/>
      <c r="N386" s="7"/>
      <c r="O386" s="7"/>
      <c r="P386" s="7"/>
      <c r="Q386" s="7"/>
      <c r="R386" s="7"/>
    </row>
    <row r="387" spans="12:18" x14ac:dyDescent="0.2">
      <c r="L387" s="6"/>
      <c r="M387" s="7"/>
      <c r="N387" s="7"/>
      <c r="O387" s="7"/>
      <c r="P387" s="7"/>
      <c r="Q387" s="7"/>
      <c r="R387" s="7"/>
    </row>
    <row r="388" spans="12:18" x14ac:dyDescent="0.2">
      <c r="L388" s="6"/>
      <c r="M388" s="7"/>
      <c r="N388" s="7"/>
      <c r="O388" s="7"/>
      <c r="P388" s="7"/>
      <c r="Q388" s="7"/>
      <c r="R388" s="7"/>
    </row>
    <row r="389" spans="12:18" x14ac:dyDescent="0.2">
      <c r="L389" s="6"/>
      <c r="M389" s="7"/>
      <c r="N389" s="7"/>
      <c r="O389" s="7"/>
      <c r="P389" s="7"/>
      <c r="Q389" s="7"/>
      <c r="R389" s="7"/>
    </row>
    <row r="390" spans="12:18" x14ac:dyDescent="0.2">
      <c r="L390" s="6"/>
      <c r="M390" s="7"/>
      <c r="N390" s="7"/>
      <c r="O390" s="7"/>
      <c r="P390" s="7"/>
      <c r="Q390" s="7"/>
      <c r="R390" s="7"/>
    </row>
    <row r="391" spans="12:18" x14ac:dyDescent="0.2">
      <c r="L391" s="6"/>
      <c r="M391" s="7"/>
      <c r="N391" s="7"/>
      <c r="O391" s="7"/>
      <c r="P391" s="7"/>
      <c r="Q391" s="7"/>
      <c r="R391" s="7"/>
    </row>
    <row r="392" spans="12:18" x14ac:dyDescent="0.2">
      <c r="L392" s="6"/>
      <c r="M392" s="7"/>
      <c r="N392" s="7"/>
      <c r="O392" s="7"/>
      <c r="P392" s="7"/>
      <c r="Q392" s="7"/>
      <c r="R392" s="7"/>
    </row>
    <row r="393" spans="12:18" x14ac:dyDescent="0.2">
      <c r="L393" s="6"/>
      <c r="M393" s="7"/>
      <c r="N393" s="7"/>
      <c r="O393" s="7"/>
      <c r="P393" s="7"/>
      <c r="Q393" s="7"/>
      <c r="R393" s="7"/>
    </row>
    <row r="394" spans="12:18" x14ac:dyDescent="0.2">
      <c r="L394" s="6"/>
      <c r="M394" s="7"/>
      <c r="N394" s="7"/>
      <c r="O394" s="7"/>
      <c r="P394" s="7"/>
      <c r="Q394" s="7"/>
      <c r="R394" s="7"/>
    </row>
    <row r="395" spans="12:18" x14ac:dyDescent="0.2">
      <c r="L395" s="6"/>
      <c r="M395" s="7"/>
      <c r="N395" s="7"/>
      <c r="O395" s="7"/>
      <c r="P395" s="7"/>
      <c r="Q395" s="7"/>
      <c r="R395" s="7"/>
    </row>
    <row r="396" spans="12:18" x14ac:dyDescent="0.2">
      <c r="L396" s="6"/>
      <c r="M396" s="7"/>
      <c r="N396" s="7"/>
      <c r="O396" s="7"/>
      <c r="P396" s="7"/>
      <c r="Q396" s="7"/>
      <c r="R396" s="7"/>
    </row>
    <row r="397" spans="12:18" x14ac:dyDescent="0.2">
      <c r="L397" s="6"/>
      <c r="M397" s="7"/>
      <c r="N397" s="7"/>
      <c r="O397" s="7"/>
      <c r="P397" s="7"/>
      <c r="Q397" s="7"/>
      <c r="R397" s="7"/>
    </row>
    <row r="398" spans="12:18" x14ac:dyDescent="0.2">
      <c r="L398" s="6"/>
      <c r="M398" s="7"/>
      <c r="N398" s="7"/>
      <c r="O398" s="7"/>
      <c r="P398" s="7"/>
      <c r="Q398" s="7"/>
      <c r="R398" s="7"/>
    </row>
    <row r="399" spans="12:18" x14ac:dyDescent="0.2">
      <c r="L399" s="6"/>
      <c r="M399" s="7"/>
      <c r="N399" s="7"/>
      <c r="O399" s="7"/>
      <c r="P399" s="7"/>
      <c r="Q399" s="7"/>
      <c r="R399" s="7"/>
    </row>
    <row r="400" spans="12:18" x14ac:dyDescent="0.2">
      <c r="L400" s="6"/>
      <c r="M400" s="7"/>
      <c r="N400" s="7"/>
      <c r="O400" s="7"/>
      <c r="P400" s="7"/>
      <c r="Q400" s="7"/>
      <c r="R400" s="7"/>
    </row>
    <row r="401" spans="12:18" x14ac:dyDescent="0.2">
      <c r="L401" s="6"/>
      <c r="M401" s="7"/>
      <c r="N401" s="7"/>
      <c r="O401" s="7"/>
      <c r="P401" s="7"/>
      <c r="Q401" s="7"/>
      <c r="R401" s="7"/>
    </row>
    <row r="402" spans="12:18" x14ac:dyDescent="0.2">
      <c r="L402" s="6"/>
      <c r="M402" s="7"/>
      <c r="N402" s="7"/>
      <c r="O402" s="7"/>
      <c r="P402" s="7"/>
      <c r="Q402" s="7"/>
      <c r="R402" s="7"/>
    </row>
    <row r="403" spans="12:18" x14ac:dyDescent="0.2">
      <c r="L403" s="6"/>
      <c r="M403" s="7"/>
      <c r="N403" s="7"/>
      <c r="O403" s="7"/>
      <c r="P403" s="7"/>
      <c r="Q403" s="7"/>
      <c r="R403" s="7"/>
    </row>
    <row r="404" spans="12:18" x14ac:dyDescent="0.2">
      <c r="L404" s="6"/>
      <c r="M404" s="7"/>
      <c r="N404" s="7"/>
      <c r="O404" s="7"/>
      <c r="P404" s="7"/>
      <c r="Q404" s="7"/>
      <c r="R404" s="7"/>
    </row>
    <row r="405" spans="12:18" x14ac:dyDescent="0.2">
      <c r="L405" s="6"/>
      <c r="M405" s="7"/>
      <c r="N405" s="7"/>
      <c r="O405" s="7"/>
      <c r="P405" s="7"/>
      <c r="Q405" s="7"/>
      <c r="R405" s="7"/>
    </row>
    <row r="406" spans="12:18" x14ac:dyDescent="0.2">
      <c r="L406" s="6"/>
      <c r="M406" s="7"/>
      <c r="N406" s="7"/>
      <c r="O406" s="7"/>
      <c r="P406" s="7"/>
      <c r="Q406" s="7"/>
      <c r="R406" s="7"/>
    </row>
    <row r="407" spans="12:18" x14ac:dyDescent="0.2">
      <c r="L407" s="6"/>
      <c r="M407" s="7"/>
      <c r="N407" s="7"/>
      <c r="O407" s="7"/>
      <c r="P407" s="7"/>
      <c r="Q407" s="7"/>
      <c r="R407" s="7"/>
    </row>
    <row r="408" spans="12:18" x14ac:dyDescent="0.2">
      <c r="L408" s="6"/>
      <c r="M408" s="7"/>
      <c r="N408" s="7"/>
      <c r="O408" s="7"/>
      <c r="P408" s="7"/>
      <c r="Q408" s="7"/>
      <c r="R408" s="7"/>
    </row>
    <row r="409" spans="12:18" x14ac:dyDescent="0.2">
      <c r="L409" s="6"/>
      <c r="M409" s="7"/>
      <c r="N409" s="7"/>
      <c r="O409" s="7"/>
      <c r="P409" s="7"/>
      <c r="Q409" s="7"/>
      <c r="R409" s="7"/>
    </row>
    <row r="410" spans="12:18" x14ac:dyDescent="0.2">
      <c r="L410" s="6"/>
      <c r="M410" s="7"/>
      <c r="N410" s="7"/>
      <c r="O410" s="7"/>
      <c r="P410" s="7"/>
      <c r="Q410" s="7"/>
      <c r="R410" s="7"/>
    </row>
    <row r="411" spans="12:18" x14ac:dyDescent="0.2">
      <c r="L411" s="6"/>
      <c r="M411" s="7"/>
      <c r="N411" s="7"/>
      <c r="O411" s="7"/>
      <c r="P411" s="7"/>
      <c r="Q411" s="7"/>
      <c r="R411" s="7"/>
    </row>
    <row r="412" spans="12:18" x14ac:dyDescent="0.2">
      <c r="L412" s="6"/>
      <c r="M412" s="7"/>
      <c r="N412" s="7"/>
      <c r="O412" s="7"/>
      <c r="P412" s="7"/>
      <c r="Q412" s="7"/>
      <c r="R412" s="7"/>
    </row>
    <row r="413" spans="12:18" x14ac:dyDescent="0.2">
      <c r="L413" s="6"/>
      <c r="M413" s="7"/>
      <c r="N413" s="7"/>
      <c r="O413" s="7"/>
      <c r="P413" s="7"/>
      <c r="Q413" s="7"/>
      <c r="R413" s="7"/>
    </row>
    <row r="414" spans="12:18" x14ac:dyDescent="0.2">
      <c r="L414" s="6"/>
      <c r="M414" s="7"/>
      <c r="N414" s="7"/>
      <c r="O414" s="7"/>
      <c r="P414" s="7"/>
      <c r="Q414" s="7"/>
      <c r="R414" s="7"/>
    </row>
    <row r="415" spans="12:18" x14ac:dyDescent="0.2">
      <c r="L415" s="6"/>
      <c r="M415" s="7"/>
      <c r="N415" s="7"/>
      <c r="O415" s="7"/>
      <c r="P415" s="7"/>
      <c r="Q415" s="7"/>
      <c r="R415" s="7"/>
    </row>
    <row r="416" spans="12:18" x14ac:dyDescent="0.2">
      <c r="L416" s="6"/>
      <c r="M416" s="7"/>
      <c r="N416" s="7"/>
      <c r="O416" s="7"/>
      <c r="P416" s="7"/>
      <c r="Q416" s="7"/>
      <c r="R416" s="7"/>
    </row>
    <row r="417" spans="12:18" x14ac:dyDescent="0.2">
      <c r="L417" s="6"/>
      <c r="M417" s="7"/>
      <c r="N417" s="7"/>
      <c r="O417" s="7"/>
      <c r="P417" s="7"/>
      <c r="Q417" s="7"/>
      <c r="R417" s="7"/>
    </row>
    <row r="418" spans="12:18" x14ac:dyDescent="0.2">
      <c r="L418" s="6"/>
      <c r="M418" s="7"/>
      <c r="N418" s="7"/>
      <c r="O418" s="7"/>
      <c r="P418" s="7"/>
      <c r="Q418" s="7"/>
      <c r="R418" s="7"/>
    </row>
    <row r="419" spans="12:18" x14ac:dyDescent="0.2">
      <c r="L419" s="6"/>
      <c r="M419" s="7"/>
      <c r="N419" s="7"/>
      <c r="O419" s="7"/>
      <c r="P419" s="7"/>
      <c r="Q419" s="7"/>
      <c r="R419" s="7"/>
    </row>
    <row r="420" spans="12:18" x14ac:dyDescent="0.2">
      <c r="L420" s="6"/>
      <c r="M420" s="7"/>
      <c r="N420" s="7"/>
      <c r="O420" s="7"/>
      <c r="P420" s="7"/>
      <c r="Q420" s="7"/>
      <c r="R420" s="7"/>
    </row>
    <row r="421" spans="12:18" x14ac:dyDescent="0.2">
      <c r="L421" s="6"/>
      <c r="M421" s="7"/>
      <c r="N421" s="7"/>
      <c r="O421" s="7"/>
      <c r="P421" s="7"/>
      <c r="Q421" s="7"/>
      <c r="R421" s="7"/>
    </row>
    <row r="422" spans="12:18" x14ac:dyDescent="0.2">
      <c r="L422" s="6"/>
      <c r="M422" s="7"/>
      <c r="N422" s="7"/>
      <c r="O422" s="7"/>
      <c r="P422" s="7"/>
      <c r="Q422" s="7"/>
      <c r="R422" s="7"/>
    </row>
    <row r="423" spans="12:18" x14ac:dyDescent="0.2">
      <c r="L423" s="6"/>
      <c r="M423" s="7"/>
      <c r="N423" s="7"/>
      <c r="O423" s="7"/>
      <c r="P423" s="7"/>
      <c r="Q423" s="7"/>
      <c r="R423" s="7"/>
    </row>
    <row r="424" spans="12:18" x14ac:dyDescent="0.2">
      <c r="L424" s="6"/>
      <c r="M424" s="7"/>
      <c r="N424" s="7"/>
      <c r="O424" s="7"/>
      <c r="P424" s="7"/>
      <c r="Q424" s="7"/>
      <c r="R424" s="7"/>
    </row>
    <row r="425" spans="12:18" x14ac:dyDescent="0.2">
      <c r="L425" s="6"/>
      <c r="M425" s="7"/>
      <c r="N425" s="7"/>
      <c r="O425" s="7"/>
      <c r="P425" s="7"/>
      <c r="Q425" s="7"/>
      <c r="R425" s="7"/>
    </row>
    <row r="426" spans="12:18" x14ac:dyDescent="0.2">
      <c r="L426" s="6"/>
      <c r="M426" s="7"/>
      <c r="N426" s="7"/>
      <c r="O426" s="7"/>
      <c r="P426" s="7"/>
      <c r="Q426" s="7"/>
      <c r="R426" s="7"/>
    </row>
    <row r="427" spans="12:18" x14ac:dyDescent="0.2">
      <c r="L427" s="6"/>
      <c r="M427" s="7"/>
      <c r="N427" s="7"/>
      <c r="O427" s="7"/>
      <c r="P427" s="7"/>
      <c r="Q427" s="7"/>
      <c r="R427" s="7"/>
    </row>
    <row r="428" spans="12:18" x14ac:dyDescent="0.2">
      <c r="L428" s="6"/>
      <c r="M428" s="7"/>
      <c r="N428" s="7"/>
      <c r="O428" s="7"/>
      <c r="P428" s="7"/>
      <c r="Q428" s="7"/>
      <c r="R428" s="7"/>
    </row>
    <row r="429" spans="12:18" x14ac:dyDescent="0.2">
      <c r="L429" s="6"/>
      <c r="M429" s="7"/>
      <c r="N429" s="7"/>
      <c r="O429" s="7"/>
      <c r="P429" s="7"/>
      <c r="Q429" s="7"/>
      <c r="R429" s="7"/>
    </row>
    <row r="430" spans="12:18" x14ac:dyDescent="0.2">
      <c r="L430" s="6"/>
      <c r="M430" s="7"/>
      <c r="N430" s="7"/>
      <c r="O430" s="7"/>
      <c r="P430" s="7"/>
      <c r="Q430" s="7"/>
      <c r="R430" s="7"/>
    </row>
    <row r="431" spans="12:18" x14ac:dyDescent="0.2">
      <c r="L431" s="6"/>
      <c r="M431" s="7"/>
      <c r="N431" s="7"/>
      <c r="O431" s="7"/>
      <c r="P431" s="7"/>
      <c r="Q431" s="7"/>
      <c r="R431" s="7"/>
    </row>
    <row r="432" spans="12:18" x14ac:dyDescent="0.2">
      <c r="L432" s="6"/>
      <c r="M432" s="7"/>
      <c r="N432" s="7"/>
      <c r="O432" s="7"/>
      <c r="P432" s="7"/>
      <c r="Q432" s="7"/>
      <c r="R432" s="7"/>
    </row>
    <row r="433" spans="12:18" x14ac:dyDescent="0.2">
      <c r="L433" s="6"/>
      <c r="M433" s="7"/>
      <c r="N433" s="7"/>
      <c r="O433" s="7"/>
      <c r="P433" s="7"/>
      <c r="Q433" s="7"/>
      <c r="R433" s="7"/>
    </row>
    <row r="434" spans="12:18" x14ac:dyDescent="0.2">
      <c r="L434" s="6"/>
      <c r="M434" s="7"/>
      <c r="N434" s="7"/>
      <c r="O434" s="7"/>
      <c r="P434" s="7"/>
      <c r="Q434" s="7"/>
      <c r="R434" s="7"/>
    </row>
    <row r="435" spans="12:18" x14ac:dyDescent="0.2">
      <c r="L435" s="6"/>
      <c r="M435" s="7"/>
      <c r="N435" s="7"/>
      <c r="O435" s="7"/>
      <c r="P435" s="7"/>
      <c r="Q435" s="7"/>
      <c r="R435" s="7"/>
    </row>
    <row r="436" spans="12:18" x14ac:dyDescent="0.2">
      <c r="L436" s="6"/>
      <c r="M436" s="7"/>
      <c r="N436" s="7"/>
      <c r="O436" s="7"/>
      <c r="P436" s="7"/>
      <c r="Q436" s="7"/>
      <c r="R436" s="7"/>
    </row>
    <row r="437" spans="12:18" x14ac:dyDescent="0.2">
      <c r="L437" s="6"/>
      <c r="M437" s="7"/>
      <c r="N437" s="7"/>
      <c r="O437" s="7"/>
      <c r="P437" s="7"/>
      <c r="Q437" s="7"/>
      <c r="R437" s="7"/>
    </row>
    <row r="438" spans="12:18" x14ac:dyDescent="0.2">
      <c r="L438" s="6"/>
      <c r="M438" s="7"/>
      <c r="N438" s="7"/>
      <c r="O438" s="7"/>
      <c r="P438" s="7"/>
      <c r="Q438" s="7"/>
      <c r="R438" s="7"/>
    </row>
    <row r="439" spans="12:18" x14ac:dyDescent="0.2">
      <c r="L439" s="6"/>
      <c r="M439" s="7"/>
      <c r="N439" s="7"/>
      <c r="O439" s="7"/>
      <c r="P439" s="7"/>
      <c r="Q439" s="7"/>
      <c r="R439" s="7"/>
    </row>
    <row r="440" spans="12:18" x14ac:dyDescent="0.2">
      <c r="L440" s="6"/>
      <c r="M440" s="7"/>
      <c r="N440" s="7"/>
      <c r="O440" s="7"/>
      <c r="P440" s="7"/>
      <c r="Q440" s="7"/>
      <c r="R440" s="7"/>
    </row>
    <row r="441" spans="12:18" x14ac:dyDescent="0.2">
      <c r="L441" s="6"/>
      <c r="M441" s="7"/>
      <c r="N441" s="7"/>
      <c r="O441" s="7"/>
      <c r="P441" s="7"/>
      <c r="Q441" s="7"/>
      <c r="R441" s="7"/>
    </row>
    <row r="442" spans="12:18" x14ac:dyDescent="0.2">
      <c r="L442" s="6"/>
      <c r="M442" s="7"/>
      <c r="N442" s="7"/>
      <c r="O442" s="7"/>
      <c r="P442" s="7"/>
      <c r="Q442" s="7"/>
      <c r="R442" s="7"/>
    </row>
    <row r="443" spans="12:18" x14ac:dyDescent="0.2">
      <c r="L443" s="6"/>
      <c r="M443" s="7"/>
      <c r="N443" s="7"/>
      <c r="O443" s="7"/>
      <c r="P443" s="7"/>
      <c r="Q443" s="7"/>
      <c r="R443" s="7"/>
    </row>
    <row r="444" spans="12:18" x14ac:dyDescent="0.2">
      <c r="L444" s="6"/>
      <c r="M444" s="7"/>
      <c r="N444" s="7"/>
      <c r="O444" s="7"/>
      <c r="P444" s="7"/>
      <c r="Q444" s="7"/>
      <c r="R444" s="7"/>
    </row>
    <row r="445" spans="12:18" x14ac:dyDescent="0.2">
      <c r="L445" s="6"/>
      <c r="M445" s="7"/>
      <c r="N445" s="7"/>
      <c r="O445" s="7"/>
      <c r="P445" s="7"/>
      <c r="Q445" s="7"/>
      <c r="R445" s="7"/>
    </row>
    <row r="446" spans="12:18" x14ac:dyDescent="0.2">
      <c r="L446" s="6"/>
      <c r="M446" s="7"/>
      <c r="N446" s="7"/>
      <c r="O446" s="7"/>
      <c r="P446" s="7"/>
      <c r="Q446" s="7"/>
      <c r="R446" s="7"/>
    </row>
    <row r="447" spans="12:18" x14ac:dyDescent="0.2">
      <c r="L447" s="6"/>
      <c r="M447" s="7"/>
      <c r="N447" s="7"/>
      <c r="O447" s="7"/>
      <c r="P447" s="7"/>
      <c r="Q447" s="7"/>
      <c r="R447" s="7"/>
    </row>
    <row r="448" spans="12:18" x14ac:dyDescent="0.2">
      <c r="L448" s="6"/>
      <c r="M448" s="7"/>
      <c r="N448" s="7"/>
      <c r="O448" s="7"/>
      <c r="P448" s="7"/>
      <c r="Q448" s="7"/>
      <c r="R448" s="7"/>
    </row>
    <row r="449" spans="12:18" x14ac:dyDescent="0.2">
      <c r="L449" s="6"/>
      <c r="M449" s="7"/>
      <c r="N449" s="7"/>
      <c r="O449" s="7"/>
      <c r="P449" s="7"/>
      <c r="Q449" s="7"/>
      <c r="R449" s="7"/>
    </row>
    <row r="450" spans="12:18" x14ac:dyDescent="0.2">
      <c r="L450" s="6"/>
      <c r="M450" s="7"/>
      <c r="N450" s="7"/>
      <c r="O450" s="7"/>
      <c r="P450" s="7"/>
      <c r="Q450" s="7"/>
      <c r="R450" s="7"/>
    </row>
    <row r="451" spans="12:18" x14ac:dyDescent="0.2">
      <c r="L451" s="6"/>
      <c r="M451" s="7"/>
      <c r="N451" s="7"/>
      <c r="O451" s="7"/>
      <c r="P451" s="7"/>
      <c r="Q451" s="7"/>
      <c r="R451" s="7"/>
    </row>
    <row r="452" spans="12:18" x14ac:dyDescent="0.2">
      <c r="L452" s="6"/>
      <c r="M452" s="7"/>
      <c r="N452" s="7"/>
      <c r="O452" s="7"/>
      <c r="P452" s="7"/>
      <c r="Q452" s="7"/>
      <c r="R452" s="7"/>
    </row>
    <row r="453" spans="12:18" x14ac:dyDescent="0.2">
      <c r="L453" s="6"/>
      <c r="M453" s="7"/>
      <c r="N453" s="7"/>
      <c r="O453" s="7"/>
      <c r="P453" s="7"/>
      <c r="Q453" s="7"/>
      <c r="R453" s="7"/>
    </row>
    <row r="454" spans="12:18" x14ac:dyDescent="0.2">
      <c r="L454" s="6"/>
      <c r="M454" s="7"/>
      <c r="N454" s="7"/>
      <c r="O454" s="7"/>
      <c r="P454" s="7"/>
      <c r="Q454" s="7"/>
      <c r="R454" s="7"/>
    </row>
    <row r="455" spans="12:18" x14ac:dyDescent="0.2">
      <c r="L455" s="6"/>
      <c r="M455" s="7"/>
      <c r="N455" s="7"/>
      <c r="O455" s="7"/>
      <c r="P455" s="7"/>
      <c r="Q455" s="7"/>
      <c r="R455" s="7"/>
    </row>
    <row r="456" spans="12:18" x14ac:dyDescent="0.2">
      <c r="L456" s="6"/>
      <c r="M456" s="7"/>
      <c r="N456" s="7"/>
      <c r="O456" s="7"/>
      <c r="P456" s="7"/>
      <c r="Q456" s="7"/>
      <c r="R456" s="7"/>
    </row>
    <row r="457" spans="12:18" x14ac:dyDescent="0.2">
      <c r="L457" s="6"/>
      <c r="M457" s="7"/>
      <c r="N457" s="7"/>
      <c r="O457" s="7"/>
      <c r="P457" s="7"/>
      <c r="Q457" s="7"/>
      <c r="R457" s="7"/>
    </row>
    <row r="458" spans="12:18" x14ac:dyDescent="0.2">
      <c r="L458" s="6"/>
      <c r="M458" s="7"/>
      <c r="N458" s="7"/>
      <c r="O458" s="7"/>
      <c r="P458" s="7"/>
      <c r="Q458" s="7"/>
      <c r="R458" s="7"/>
    </row>
    <row r="459" spans="12:18" x14ac:dyDescent="0.2">
      <c r="L459" s="6"/>
      <c r="M459" s="7"/>
      <c r="N459" s="7"/>
      <c r="O459" s="7"/>
      <c r="P459" s="7"/>
      <c r="Q459" s="7"/>
      <c r="R459" s="7"/>
    </row>
    <row r="460" spans="12:18" x14ac:dyDescent="0.2">
      <c r="L460" s="6"/>
      <c r="M460" s="7"/>
      <c r="N460" s="7"/>
      <c r="O460" s="7"/>
      <c r="P460" s="7"/>
      <c r="Q460" s="7"/>
      <c r="R460" s="7"/>
    </row>
    <row r="461" spans="12:18" x14ac:dyDescent="0.2">
      <c r="L461" s="6"/>
      <c r="M461" s="7"/>
      <c r="N461" s="7"/>
      <c r="O461" s="7"/>
      <c r="P461" s="7"/>
      <c r="Q461" s="7"/>
      <c r="R461" s="7"/>
    </row>
    <row r="462" spans="12:18" x14ac:dyDescent="0.2">
      <c r="L462" s="6"/>
      <c r="M462" s="7"/>
      <c r="N462" s="7"/>
      <c r="O462" s="7"/>
      <c r="P462" s="7"/>
      <c r="Q462" s="7"/>
      <c r="R462" s="7"/>
    </row>
    <row r="463" spans="12:18" x14ac:dyDescent="0.2">
      <c r="L463" s="6"/>
      <c r="M463" s="7"/>
      <c r="N463" s="7"/>
      <c r="O463" s="7"/>
      <c r="P463" s="7"/>
      <c r="Q463" s="7"/>
      <c r="R463" s="7"/>
    </row>
    <row r="464" spans="12:18" x14ac:dyDescent="0.2">
      <c r="L464" s="6"/>
      <c r="M464" s="7"/>
      <c r="N464" s="7"/>
      <c r="O464" s="7"/>
      <c r="P464" s="7"/>
      <c r="Q464" s="7"/>
      <c r="R464" s="7"/>
    </row>
    <row r="465" spans="12:18" x14ac:dyDescent="0.2">
      <c r="L465" s="6"/>
      <c r="M465" s="7"/>
      <c r="N465" s="7"/>
      <c r="O465" s="7"/>
      <c r="P465" s="7"/>
      <c r="Q465" s="7"/>
      <c r="R465" s="7"/>
    </row>
    <row r="466" spans="12:18" x14ac:dyDescent="0.2">
      <c r="L466" s="6"/>
      <c r="M466" s="7"/>
      <c r="N466" s="7"/>
      <c r="O466" s="7"/>
      <c r="P466" s="7"/>
      <c r="Q466" s="7"/>
      <c r="R466" s="7"/>
    </row>
    <row r="467" spans="12:18" x14ac:dyDescent="0.2">
      <c r="L467" s="6"/>
      <c r="M467" s="7"/>
      <c r="N467" s="7"/>
      <c r="O467" s="7"/>
      <c r="P467" s="7"/>
      <c r="Q467" s="7"/>
      <c r="R467" s="7"/>
    </row>
    <row r="468" spans="12:18" x14ac:dyDescent="0.2">
      <c r="L468" s="6"/>
      <c r="M468" s="7"/>
      <c r="N468" s="7"/>
      <c r="O468" s="7"/>
      <c r="P468" s="7"/>
      <c r="Q468" s="7"/>
      <c r="R468" s="7"/>
    </row>
    <row r="469" spans="12:18" x14ac:dyDescent="0.2">
      <c r="L469" s="6"/>
      <c r="M469" s="7"/>
      <c r="N469" s="7"/>
      <c r="O469" s="7"/>
      <c r="P469" s="7"/>
      <c r="Q469" s="7"/>
      <c r="R469" s="7"/>
    </row>
    <row r="470" spans="12:18" x14ac:dyDescent="0.2">
      <c r="L470" s="6"/>
      <c r="M470" s="7"/>
      <c r="N470" s="7"/>
      <c r="O470" s="7"/>
      <c r="P470" s="7"/>
      <c r="Q470" s="7"/>
      <c r="R470" s="7"/>
    </row>
    <row r="471" spans="12:18" x14ac:dyDescent="0.2">
      <c r="L471" s="6"/>
      <c r="M471" s="7"/>
      <c r="N471" s="7"/>
      <c r="O471" s="7"/>
      <c r="P471" s="7"/>
      <c r="Q471" s="7"/>
      <c r="R471" s="7"/>
    </row>
    <row r="472" spans="12:18" x14ac:dyDescent="0.2">
      <c r="L472" s="6"/>
      <c r="M472" s="7"/>
      <c r="N472" s="7"/>
      <c r="O472" s="7"/>
      <c r="P472" s="7"/>
      <c r="Q472" s="7"/>
      <c r="R472" s="7"/>
    </row>
    <row r="473" spans="12:18" x14ac:dyDescent="0.2">
      <c r="L473" s="6"/>
      <c r="M473" s="7"/>
      <c r="N473" s="7"/>
      <c r="O473" s="7"/>
      <c r="P473" s="7"/>
      <c r="Q473" s="7"/>
      <c r="R473" s="7"/>
    </row>
    <row r="474" spans="12:18" x14ac:dyDescent="0.2">
      <c r="L474" s="6"/>
      <c r="M474" s="7"/>
      <c r="N474" s="7"/>
      <c r="O474" s="7"/>
      <c r="P474" s="7"/>
      <c r="Q474" s="7"/>
      <c r="R474" s="7"/>
    </row>
    <row r="475" spans="12:18" x14ac:dyDescent="0.2">
      <c r="L475" s="6"/>
      <c r="M475" s="7"/>
      <c r="N475" s="7"/>
      <c r="O475" s="7"/>
      <c r="P475" s="7"/>
      <c r="Q475" s="7"/>
      <c r="R475" s="7"/>
    </row>
    <row r="476" spans="12:18" x14ac:dyDescent="0.2">
      <c r="L476" s="6"/>
      <c r="M476" s="7"/>
      <c r="N476" s="7"/>
      <c r="O476" s="7"/>
      <c r="P476" s="7"/>
      <c r="Q476" s="7"/>
      <c r="R476" s="7"/>
    </row>
    <row r="477" spans="12:18" x14ac:dyDescent="0.2">
      <c r="L477" s="6"/>
      <c r="M477" s="7"/>
      <c r="N477" s="7"/>
      <c r="O477" s="7"/>
      <c r="P477" s="7"/>
      <c r="Q477" s="7"/>
      <c r="R477" s="7"/>
    </row>
    <row r="478" spans="12:18" x14ac:dyDescent="0.2">
      <c r="L478" s="6"/>
      <c r="M478" s="7"/>
      <c r="N478" s="7"/>
      <c r="O478" s="7"/>
      <c r="P478" s="7"/>
      <c r="Q478" s="7"/>
      <c r="R478" s="7"/>
    </row>
    <row r="479" spans="12:18" x14ac:dyDescent="0.2">
      <c r="L479" s="6"/>
      <c r="M479" s="7"/>
      <c r="N479" s="7"/>
      <c r="O479" s="7"/>
      <c r="P479" s="7"/>
      <c r="Q479" s="7"/>
      <c r="R479" s="7"/>
    </row>
    <row r="480" spans="12:18" x14ac:dyDescent="0.2">
      <c r="L480" s="6"/>
      <c r="M480" s="7"/>
      <c r="N480" s="7"/>
      <c r="O480" s="7"/>
      <c r="P480" s="7"/>
      <c r="Q480" s="7"/>
      <c r="R480" s="7"/>
    </row>
    <row r="481" spans="12:18" x14ac:dyDescent="0.2">
      <c r="L481" s="6"/>
      <c r="M481" s="7"/>
      <c r="N481" s="7"/>
      <c r="O481" s="7"/>
      <c r="P481" s="7"/>
      <c r="Q481" s="7"/>
      <c r="R481" s="7"/>
    </row>
    <row r="482" spans="12:18" x14ac:dyDescent="0.2">
      <c r="L482" s="6"/>
      <c r="M482" s="7"/>
      <c r="N482" s="7"/>
      <c r="O482" s="7"/>
      <c r="P482" s="7"/>
      <c r="Q482" s="7"/>
      <c r="R482" s="7"/>
    </row>
    <row r="483" spans="12:18" x14ac:dyDescent="0.2">
      <c r="L483" s="6"/>
      <c r="M483" s="7"/>
      <c r="N483" s="7"/>
      <c r="O483" s="7"/>
      <c r="P483" s="7"/>
      <c r="Q483" s="7"/>
      <c r="R483" s="7"/>
    </row>
    <row r="484" spans="12:18" x14ac:dyDescent="0.2">
      <c r="L484" s="6"/>
      <c r="M484" s="7"/>
      <c r="N484" s="7"/>
      <c r="O484" s="7"/>
      <c r="P484" s="7"/>
      <c r="Q484" s="7"/>
      <c r="R484" s="7"/>
    </row>
    <row r="485" spans="12:18" x14ac:dyDescent="0.2">
      <c r="L485" s="6"/>
      <c r="M485" s="7"/>
      <c r="N485" s="7"/>
      <c r="O485" s="7"/>
      <c r="P485" s="7"/>
      <c r="Q485" s="7"/>
      <c r="R485" s="7"/>
    </row>
    <row r="486" spans="12:18" x14ac:dyDescent="0.2">
      <c r="L486" s="6"/>
      <c r="M486" s="7"/>
      <c r="N486" s="7"/>
      <c r="O486" s="7"/>
      <c r="P486" s="7"/>
      <c r="Q486" s="7"/>
      <c r="R486" s="7"/>
    </row>
    <row r="487" spans="12:18" x14ac:dyDescent="0.2">
      <c r="L487" s="6"/>
      <c r="M487" s="7"/>
      <c r="N487" s="7"/>
      <c r="O487" s="7"/>
      <c r="P487" s="7"/>
      <c r="Q487" s="7"/>
      <c r="R487" s="7"/>
    </row>
    <row r="488" spans="12:18" x14ac:dyDescent="0.2">
      <c r="L488" s="6"/>
      <c r="M488" s="7"/>
      <c r="N488" s="7"/>
      <c r="O488" s="7"/>
      <c r="P488" s="7"/>
      <c r="Q488" s="7"/>
      <c r="R488" s="7"/>
    </row>
    <row r="489" spans="12:18" x14ac:dyDescent="0.2">
      <c r="L489" s="6"/>
      <c r="M489" s="7"/>
      <c r="N489" s="7"/>
      <c r="O489" s="7"/>
      <c r="P489" s="7"/>
      <c r="Q489" s="7"/>
      <c r="R489" s="7"/>
    </row>
    <row r="490" spans="12:18" x14ac:dyDescent="0.2">
      <c r="L490" s="6"/>
      <c r="M490" s="7"/>
      <c r="N490" s="7"/>
      <c r="O490" s="7"/>
      <c r="P490" s="7"/>
      <c r="Q490" s="7"/>
      <c r="R490" s="7"/>
    </row>
    <row r="491" spans="12:18" x14ac:dyDescent="0.2">
      <c r="L491" s="6"/>
      <c r="M491" s="7"/>
      <c r="N491" s="7"/>
      <c r="O491" s="7"/>
      <c r="P491" s="7"/>
      <c r="Q491" s="7"/>
      <c r="R491" s="7"/>
    </row>
    <row r="492" spans="12:18" x14ac:dyDescent="0.2">
      <c r="L492" s="6"/>
      <c r="M492" s="7"/>
      <c r="N492" s="7"/>
      <c r="O492" s="7"/>
      <c r="P492" s="7"/>
      <c r="Q492" s="7"/>
      <c r="R492" s="7"/>
    </row>
    <row r="493" spans="12:18" x14ac:dyDescent="0.2">
      <c r="L493" s="6"/>
      <c r="M493" s="7"/>
      <c r="N493" s="7"/>
      <c r="O493" s="7"/>
      <c r="P493" s="7"/>
      <c r="Q493" s="7"/>
      <c r="R493" s="7"/>
    </row>
    <row r="494" spans="12:18" x14ac:dyDescent="0.2">
      <c r="L494" s="6"/>
      <c r="M494" s="7"/>
      <c r="N494" s="7"/>
      <c r="O494" s="7"/>
      <c r="P494" s="7"/>
      <c r="Q494" s="7"/>
      <c r="R494" s="7"/>
    </row>
    <row r="495" spans="12:18" x14ac:dyDescent="0.2">
      <c r="L495" s="6"/>
      <c r="M495" s="7"/>
      <c r="N495" s="7"/>
      <c r="O495" s="7"/>
      <c r="P495" s="7"/>
      <c r="Q495" s="7"/>
      <c r="R495" s="7"/>
    </row>
    <row r="496" spans="12:18" x14ac:dyDescent="0.2">
      <c r="L496" s="6"/>
      <c r="M496" s="7"/>
      <c r="N496" s="7"/>
      <c r="O496" s="7"/>
      <c r="P496" s="7"/>
      <c r="Q496" s="7"/>
      <c r="R496" s="7"/>
    </row>
    <row r="497" spans="12:18" x14ac:dyDescent="0.2">
      <c r="L497" s="6"/>
      <c r="M497" s="7"/>
      <c r="N497" s="7"/>
      <c r="O497" s="7"/>
      <c r="P497" s="7"/>
      <c r="Q497" s="7"/>
      <c r="R497" s="7"/>
    </row>
    <row r="498" spans="12:18" x14ac:dyDescent="0.2">
      <c r="L498" s="6"/>
      <c r="M498" s="7"/>
      <c r="N498" s="7"/>
      <c r="O498" s="7"/>
      <c r="P498" s="7"/>
      <c r="Q498" s="7"/>
      <c r="R498" s="7"/>
    </row>
    <row r="499" spans="12:18" x14ac:dyDescent="0.2">
      <c r="L499" s="6"/>
      <c r="M499" s="7"/>
      <c r="N499" s="7"/>
      <c r="O499" s="7"/>
      <c r="P499" s="7"/>
      <c r="Q499" s="7"/>
      <c r="R499" s="7"/>
    </row>
    <row r="500" spans="12:18" x14ac:dyDescent="0.2">
      <c r="L500" s="6"/>
      <c r="M500" s="7"/>
      <c r="N500" s="7"/>
      <c r="O500" s="7"/>
      <c r="P500" s="7"/>
      <c r="Q500" s="7"/>
      <c r="R500" s="7"/>
    </row>
    <row r="501" spans="12:18" x14ac:dyDescent="0.2">
      <c r="L501" s="6"/>
      <c r="M501" s="7"/>
      <c r="N501" s="7"/>
      <c r="O501" s="7"/>
      <c r="P501" s="7"/>
      <c r="Q501" s="7"/>
      <c r="R501" s="7"/>
    </row>
    <row r="502" spans="12:18" x14ac:dyDescent="0.2">
      <c r="L502" s="6"/>
      <c r="M502" s="7"/>
      <c r="N502" s="7"/>
      <c r="O502" s="7"/>
      <c r="P502" s="7"/>
      <c r="Q502" s="7"/>
      <c r="R502" s="7"/>
    </row>
    <row r="503" spans="12:18" x14ac:dyDescent="0.2">
      <c r="L503" s="6"/>
      <c r="M503" s="7"/>
      <c r="N503" s="7"/>
      <c r="O503" s="7"/>
      <c r="P503" s="7"/>
      <c r="Q503" s="7"/>
      <c r="R503" s="7"/>
    </row>
    <row r="504" spans="12:18" x14ac:dyDescent="0.2">
      <c r="L504" s="6"/>
      <c r="M504" s="7"/>
      <c r="N504" s="7"/>
      <c r="O504" s="7"/>
      <c r="P504" s="7"/>
      <c r="Q504" s="7"/>
      <c r="R504" s="7"/>
    </row>
    <row r="505" spans="12:18" x14ac:dyDescent="0.2">
      <c r="L505" s="6"/>
      <c r="M505" s="7"/>
      <c r="N505" s="7"/>
      <c r="O505" s="7"/>
      <c r="P505" s="7"/>
      <c r="Q505" s="7"/>
      <c r="R505" s="7"/>
    </row>
    <row r="506" spans="12:18" x14ac:dyDescent="0.2">
      <c r="L506" s="6"/>
      <c r="M506" s="7"/>
      <c r="N506" s="7"/>
      <c r="O506" s="7"/>
      <c r="P506" s="7"/>
      <c r="Q506" s="7"/>
      <c r="R506" s="7"/>
    </row>
    <row r="507" spans="12:18" x14ac:dyDescent="0.2">
      <c r="L507" s="6"/>
      <c r="M507" s="7"/>
      <c r="N507" s="7"/>
      <c r="O507" s="7"/>
      <c r="P507" s="7"/>
      <c r="Q507" s="7"/>
      <c r="R507" s="7"/>
    </row>
    <row r="508" spans="12:18" x14ac:dyDescent="0.2">
      <c r="L508" s="6"/>
      <c r="M508" s="7"/>
      <c r="N508" s="7"/>
      <c r="O508" s="7"/>
      <c r="P508" s="7"/>
      <c r="Q508" s="7"/>
      <c r="R508" s="7"/>
    </row>
    <row r="509" spans="12:18" x14ac:dyDescent="0.2">
      <c r="L509" s="6"/>
      <c r="M509" s="7"/>
      <c r="N509" s="7"/>
      <c r="O509" s="7"/>
      <c r="P509" s="7"/>
      <c r="Q509" s="7"/>
      <c r="R509" s="7"/>
    </row>
    <row r="510" spans="12:18" x14ac:dyDescent="0.2">
      <c r="L510" s="6"/>
      <c r="M510" s="7"/>
      <c r="N510" s="7"/>
      <c r="O510" s="7"/>
      <c r="P510" s="7"/>
      <c r="Q510" s="7"/>
      <c r="R510" s="7"/>
    </row>
    <row r="511" spans="12:18" x14ac:dyDescent="0.2">
      <c r="L511" s="6"/>
      <c r="M511" s="7"/>
      <c r="N511" s="7"/>
      <c r="O511" s="7"/>
      <c r="P511" s="7"/>
      <c r="Q511" s="7"/>
      <c r="R511" s="7"/>
    </row>
    <row r="512" spans="12:18" x14ac:dyDescent="0.2">
      <c r="L512" s="6"/>
      <c r="M512" s="7"/>
      <c r="N512" s="7"/>
      <c r="O512" s="7"/>
      <c r="P512" s="7"/>
      <c r="Q512" s="7"/>
      <c r="R512" s="7"/>
    </row>
    <row r="513" spans="12:18" x14ac:dyDescent="0.2">
      <c r="L513" s="6"/>
      <c r="M513" s="7"/>
      <c r="N513" s="7"/>
      <c r="O513" s="7"/>
      <c r="P513" s="7"/>
      <c r="Q513" s="7"/>
      <c r="R513" s="7"/>
    </row>
    <row r="514" spans="12:18" x14ac:dyDescent="0.2">
      <c r="L514" s="6"/>
      <c r="M514" s="7"/>
      <c r="N514" s="7"/>
      <c r="O514" s="7"/>
      <c r="P514" s="7"/>
      <c r="Q514" s="7"/>
      <c r="R514" s="7"/>
    </row>
    <row r="515" spans="12:18" x14ac:dyDescent="0.2">
      <c r="L515" s="6"/>
      <c r="M515" s="7"/>
      <c r="N515" s="7"/>
      <c r="O515" s="7"/>
      <c r="P515" s="7"/>
      <c r="Q515" s="7"/>
      <c r="R515" s="7"/>
    </row>
    <row r="516" spans="12:18" x14ac:dyDescent="0.2">
      <c r="L516" s="6"/>
      <c r="M516" s="7"/>
      <c r="N516" s="7"/>
      <c r="O516" s="7"/>
      <c r="P516" s="7"/>
      <c r="Q516" s="7"/>
      <c r="R516" s="7"/>
    </row>
    <row r="517" spans="12:18" x14ac:dyDescent="0.2">
      <c r="L517" s="6"/>
      <c r="M517" s="7"/>
      <c r="N517" s="7"/>
      <c r="O517" s="7"/>
      <c r="P517" s="7"/>
      <c r="Q517" s="7"/>
      <c r="R517" s="7"/>
    </row>
    <row r="518" spans="12:18" x14ac:dyDescent="0.2">
      <c r="L518" s="6"/>
      <c r="M518" s="7"/>
      <c r="N518" s="7"/>
      <c r="O518" s="7"/>
      <c r="P518" s="7"/>
      <c r="Q518" s="7"/>
      <c r="R518" s="7"/>
    </row>
    <row r="519" spans="12:18" x14ac:dyDescent="0.2">
      <c r="L519" s="6"/>
      <c r="M519" s="7"/>
      <c r="N519" s="7"/>
      <c r="O519" s="7"/>
      <c r="P519" s="7"/>
      <c r="Q519" s="7"/>
      <c r="R519" s="7"/>
    </row>
    <row r="520" spans="12:18" x14ac:dyDescent="0.2">
      <c r="L520" s="6"/>
      <c r="M520" s="7"/>
      <c r="N520" s="7"/>
      <c r="O520" s="7"/>
      <c r="P520" s="7"/>
      <c r="Q520" s="7"/>
      <c r="R520" s="7"/>
    </row>
    <row r="521" spans="12:18" x14ac:dyDescent="0.2">
      <c r="L521" s="6"/>
      <c r="M521" s="7"/>
      <c r="N521" s="7"/>
      <c r="O521" s="7"/>
      <c r="P521" s="7"/>
      <c r="Q521" s="7"/>
      <c r="R521" s="7"/>
    </row>
    <row r="522" spans="12:18" x14ac:dyDescent="0.2">
      <c r="L522" s="6"/>
      <c r="M522" s="7"/>
      <c r="N522" s="7"/>
      <c r="O522" s="7"/>
      <c r="P522" s="7"/>
      <c r="Q522" s="7"/>
      <c r="R522" s="7"/>
    </row>
    <row r="523" spans="12:18" x14ac:dyDescent="0.2">
      <c r="L523" s="6"/>
      <c r="M523" s="7"/>
      <c r="N523" s="7"/>
      <c r="O523" s="7"/>
      <c r="P523" s="7"/>
      <c r="Q523" s="7"/>
      <c r="R523" s="7"/>
    </row>
    <row r="524" spans="12:18" x14ac:dyDescent="0.2">
      <c r="L524" s="6"/>
      <c r="M524" s="7"/>
      <c r="N524" s="7"/>
      <c r="O524" s="7"/>
      <c r="P524" s="7"/>
      <c r="Q524" s="7"/>
      <c r="R524" s="7"/>
    </row>
    <row r="525" spans="12:18" x14ac:dyDescent="0.2">
      <c r="L525" s="6"/>
      <c r="M525" s="7"/>
      <c r="N525" s="7"/>
      <c r="O525" s="7"/>
      <c r="P525" s="7"/>
      <c r="Q525" s="7"/>
      <c r="R525" s="7"/>
    </row>
    <row r="526" spans="12:18" x14ac:dyDescent="0.2">
      <c r="L526" s="6"/>
      <c r="M526" s="7"/>
      <c r="N526" s="7"/>
      <c r="O526" s="7"/>
      <c r="P526" s="7"/>
      <c r="Q526" s="7"/>
      <c r="R526" s="7"/>
    </row>
    <row r="527" spans="12:18" x14ac:dyDescent="0.2">
      <c r="L527" s="6"/>
      <c r="M527" s="7"/>
      <c r="N527" s="7"/>
      <c r="O527" s="7"/>
      <c r="P527" s="7"/>
      <c r="Q527" s="7"/>
      <c r="R527" s="7"/>
    </row>
    <row r="528" spans="12:18" x14ac:dyDescent="0.2">
      <c r="L528" s="6"/>
      <c r="M528" s="7"/>
      <c r="N528" s="7"/>
      <c r="O528" s="7"/>
      <c r="P528" s="7"/>
      <c r="Q528" s="7"/>
      <c r="R528" s="7"/>
    </row>
    <row r="529" spans="12:18" x14ac:dyDescent="0.2">
      <c r="L529" s="6"/>
      <c r="M529" s="7"/>
      <c r="N529" s="7"/>
      <c r="O529" s="7"/>
      <c r="P529" s="7"/>
      <c r="Q529" s="7"/>
      <c r="R529" s="7"/>
    </row>
    <row r="530" spans="12:18" x14ac:dyDescent="0.2">
      <c r="L530" s="6"/>
      <c r="M530" s="7"/>
      <c r="N530" s="7"/>
      <c r="O530" s="7"/>
      <c r="P530" s="7"/>
      <c r="Q530" s="7"/>
      <c r="R530" s="7"/>
    </row>
    <row r="531" spans="12:18" x14ac:dyDescent="0.2">
      <c r="L531" s="6"/>
      <c r="M531" s="7"/>
      <c r="N531" s="7"/>
      <c r="O531" s="7"/>
      <c r="P531" s="7"/>
      <c r="Q531" s="7"/>
      <c r="R531" s="7"/>
    </row>
    <row r="532" spans="12:18" x14ac:dyDescent="0.2">
      <c r="L532" s="6"/>
      <c r="M532" s="7"/>
      <c r="N532" s="7"/>
      <c r="O532" s="7"/>
      <c r="P532" s="7"/>
      <c r="Q532" s="7"/>
      <c r="R532" s="7"/>
    </row>
    <row r="533" spans="12:18" x14ac:dyDescent="0.2">
      <c r="L533" s="6"/>
      <c r="M533" s="7"/>
      <c r="N533" s="7"/>
      <c r="O533" s="7"/>
      <c r="P533" s="7"/>
      <c r="Q533" s="7"/>
      <c r="R533" s="7"/>
    </row>
    <row r="534" spans="12:18" x14ac:dyDescent="0.2">
      <c r="L534" s="6"/>
      <c r="M534" s="7"/>
      <c r="N534" s="7"/>
      <c r="O534" s="7"/>
      <c r="P534" s="7"/>
      <c r="Q534" s="7"/>
      <c r="R534" s="7"/>
    </row>
    <row r="535" spans="12:18" x14ac:dyDescent="0.2">
      <c r="L535" s="6"/>
      <c r="M535" s="7"/>
      <c r="N535" s="7"/>
      <c r="O535" s="7"/>
      <c r="P535" s="7"/>
      <c r="Q535" s="7"/>
      <c r="R535" s="7"/>
    </row>
    <row r="536" spans="12:18" x14ac:dyDescent="0.2">
      <c r="L536" s="6"/>
      <c r="M536" s="7"/>
      <c r="N536" s="7"/>
      <c r="O536" s="7"/>
      <c r="P536" s="7"/>
      <c r="Q536" s="7"/>
      <c r="R536" s="7"/>
    </row>
    <row r="537" spans="12:18" x14ac:dyDescent="0.2">
      <c r="L537" s="6"/>
      <c r="M537" s="7"/>
      <c r="N537" s="7"/>
      <c r="O537" s="7"/>
      <c r="P537" s="7"/>
      <c r="Q537" s="7"/>
      <c r="R537" s="7"/>
    </row>
    <row r="538" spans="12:18" x14ac:dyDescent="0.2">
      <c r="L538" s="6"/>
      <c r="M538" s="7"/>
      <c r="N538" s="7"/>
      <c r="O538" s="7"/>
      <c r="P538" s="7"/>
      <c r="Q538" s="7"/>
      <c r="R538" s="7"/>
    </row>
    <row r="539" spans="12:18" x14ac:dyDescent="0.2">
      <c r="L539" s="6"/>
      <c r="M539" s="7"/>
      <c r="N539" s="7"/>
      <c r="O539" s="7"/>
      <c r="P539" s="7"/>
      <c r="Q539" s="7"/>
      <c r="R539" s="7"/>
    </row>
    <row r="540" spans="12:18" x14ac:dyDescent="0.2">
      <c r="L540" s="6"/>
      <c r="M540" s="7"/>
      <c r="N540" s="7"/>
      <c r="O540" s="7"/>
      <c r="P540" s="7"/>
      <c r="Q540" s="7"/>
      <c r="R540" s="7"/>
    </row>
    <row r="541" spans="12:18" x14ac:dyDescent="0.2">
      <c r="L541" s="6"/>
      <c r="M541" s="7"/>
      <c r="N541" s="7"/>
      <c r="O541" s="7"/>
      <c r="P541" s="7"/>
      <c r="Q541" s="7"/>
      <c r="R541" s="7"/>
    </row>
    <row r="542" spans="12:18" x14ac:dyDescent="0.2">
      <c r="L542" s="6"/>
      <c r="M542" s="7"/>
      <c r="N542" s="7"/>
      <c r="O542" s="7"/>
      <c r="P542" s="7"/>
      <c r="Q542" s="7"/>
      <c r="R542" s="7"/>
    </row>
    <row r="543" spans="12:18" x14ac:dyDescent="0.2">
      <c r="L543" s="6"/>
      <c r="M543" s="7"/>
      <c r="N543" s="7"/>
      <c r="O543" s="7"/>
      <c r="P543" s="7"/>
      <c r="Q543" s="7"/>
      <c r="R543" s="7"/>
    </row>
    <row r="544" spans="12:18" x14ac:dyDescent="0.2">
      <c r="L544" s="6"/>
      <c r="M544" s="7"/>
      <c r="N544" s="7"/>
      <c r="O544" s="7"/>
      <c r="P544" s="7"/>
      <c r="Q544" s="7"/>
      <c r="R544" s="7"/>
    </row>
    <row r="545" spans="12:18" x14ac:dyDescent="0.2">
      <c r="L545" s="6"/>
      <c r="M545" s="7"/>
      <c r="N545" s="7"/>
      <c r="O545" s="7"/>
      <c r="P545" s="7"/>
      <c r="Q545" s="7"/>
      <c r="R545" s="7"/>
    </row>
    <row r="546" spans="12:18" x14ac:dyDescent="0.2">
      <c r="L546" s="6"/>
      <c r="M546" s="7"/>
      <c r="N546" s="7"/>
      <c r="O546" s="7"/>
      <c r="P546" s="7"/>
      <c r="Q546" s="7"/>
      <c r="R546" s="7"/>
    </row>
    <row r="547" spans="12:18" x14ac:dyDescent="0.2">
      <c r="L547" s="6"/>
      <c r="M547" s="7"/>
      <c r="N547" s="7"/>
      <c r="O547" s="7"/>
      <c r="P547" s="7"/>
      <c r="Q547" s="7"/>
      <c r="R547" s="7"/>
    </row>
    <row r="548" spans="12:18" x14ac:dyDescent="0.2">
      <c r="L548" s="6"/>
      <c r="M548" s="7"/>
      <c r="N548" s="7"/>
      <c r="O548" s="7"/>
      <c r="P548" s="7"/>
      <c r="Q548" s="7"/>
      <c r="R548" s="7"/>
    </row>
    <row r="549" spans="12:18" x14ac:dyDescent="0.2">
      <c r="L549" s="6"/>
      <c r="M549" s="7"/>
      <c r="N549" s="7"/>
      <c r="O549" s="7"/>
      <c r="P549" s="7"/>
      <c r="Q549" s="7"/>
      <c r="R549" s="7"/>
    </row>
    <row r="550" spans="12:18" x14ac:dyDescent="0.2">
      <c r="L550" s="6"/>
      <c r="M550" s="7"/>
      <c r="N550" s="7"/>
      <c r="O550" s="7"/>
      <c r="P550" s="7"/>
      <c r="Q550" s="7"/>
      <c r="R550" s="7"/>
    </row>
    <row r="551" spans="12:18" x14ac:dyDescent="0.2">
      <c r="L551" s="6"/>
      <c r="M551" s="7"/>
      <c r="N551" s="7"/>
      <c r="O551" s="7"/>
      <c r="P551" s="7"/>
      <c r="Q551" s="7"/>
      <c r="R551" s="7"/>
    </row>
    <row r="552" spans="12:18" x14ac:dyDescent="0.2">
      <c r="L552" s="6"/>
      <c r="M552" s="7"/>
      <c r="N552" s="7"/>
      <c r="O552" s="7"/>
      <c r="P552" s="7"/>
      <c r="Q552" s="7"/>
      <c r="R552" s="7"/>
    </row>
    <row r="553" spans="12:18" x14ac:dyDescent="0.2">
      <c r="L553" s="6"/>
      <c r="M553" s="7"/>
      <c r="N553" s="7"/>
      <c r="O553" s="7"/>
      <c r="P553" s="7"/>
      <c r="Q553" s="7"/>
      <c r="R553" s="7"/>
    </row>
    <row r="554" spans="12:18" x14ac:dyDescent="0.2">
      <c r="L554" s="6"/>
      <c r="M554" s="7"/>
      <c r="N554" s="7"/>
      <c r="O554" s="7"/>
      <c r="P554" s="7"/>
      <c r="Q554" s="7"/>
      <c r="R554" s="7"/>
    </row>
    <row r="555" spans="12:18" x14ac:dyDescent="0.2">
      <c r="L555" s="6"/>
      <c r="M555" s="7"/>
      <c r="N555" s="7"/>
      <c r="O555" s="7"/>
      <c r="P555" s="7"/>
      <c r="Q555" s="7"/>
      <c r="R555" s="7"/>
    </row>
    <row r="556" spans="12:18" x14ac:dyDescent="0.2">
      <c r="L556" s="6"/>
      <c r="M556" s="7"/>
      <c r="N556" s="7"/>
      <c r="O556" s="7"/>
      <c r="P556" s="7"/>
      <c r="Q556" s="7"/>
      <c r="R556" s="7"/>
    </row>
    <row r="557" spans="12:18" x14ac:dyDescent="0.2">
      <c r="L557" s="6"/>
      <c r="M557" s="7"/>
      <c r="N557" s="7"/>
      <c r="O557" s="7"/>
      <c r="P557" s="7"/>
      <c r="Q557" s="7"/>
      <c r="R557" s="7"/>
    </row>
    <row r="558" spans="12:18" x14ac:dyDescent="0.2">
      <c r="L558" s="6"/>
      <c r="M558" s="7"/>
      <c r="N558" s="7"/>
      <c r="O558" s="7"/>
      <c r="P558" s="7"/>
      <c r="Q558" s="7"/>
      <c r="R558" s="7"/>
    </row>
    <row r="559" spans="12:18" x14ac:dyDescent="0.2">
      <c r="L559" s="6"/>
      <c r="M559" s="7"/>
      <c r="N559" s="7"/>
      <c r="O559" s="7"/>
      <c r="P559" s="7"/>
      <c r="Q559" s="7"/>
      <c r="R559" s="7"/>
    </row>
    <row r="560" spans="12:18" x14ac:dyDescent="0.2">
      <c r="L560" s="6"/>
      <c r="M560" s="7"/>
      <c r="N560" s="7"/>
      <c r="O560" s="7"/>
      <c r="P560" s="7"/>
      <c r="Q560" s="7"/>
      <c r="R560" s="7"/>
    </row>
    <row r="561" spans="12:18" x14ac:dyDescent="0.2">
      <c r="L561" s="6"/>
      <c r="M561" s="7"/>
      <c r="N561" s="7"/>
      <c r="O561" s="7"/>
      <c r="P561" s="7"/>
      <c r="Q561" s="7"/>
      <c r="R561" s="7"/>
    </row>
    <row r="562" spans="12:18" x14ac:dyDescent="0.2">
      <c r="L562" s="6"/>
      <c r="M562" s="7"/>
      <c r="N562" s="7"/>
      <c r="O562" s="7"/>
      <c r="P562" s="7"/>
      <c r="Q562" s="7"/>
      <c r="R562" s="7"/>
    </row>
    <row r="563" spans="12:18" x14ac:dyDescent="0.2">
      <c r="L563" s="6"/>
      <c r="M563" s="7"/>
      <c r="N563" s="7"/>
      <c r="O563" s="7"/>
      <c r="P563" s="7"/>
      <c r="Q563" s="7"/>
      <c r="R563" s="7"/>
    </row>
    <row r="564" spans="12:18" x14ac:dyDescent="0.2">
      <c r="L564" s="6"/>
      <c r="M564" s="7"/>
      <c r="N564" s="7"/>
      <c r="O564" s="7"/>
      <c r="P564" s="7"/>
      <c r="Q564" s="7"/>
      <c r="R564" s="7"/>
    </row>
    <row r="565" spans="12:18" x14ac:dyDescent="0.2">
      <c r="L565" s="6"/>
      <c r="M565" s="7"/>
      <c r="N565" s="7"/>
      <c r="O565" s="7"/>
      <c r="P565" s="7"/>
      <c r="Q565" s="7"/>
      <c r="R565" s="7"/>
    </row>
    <row r="566" spans="12:18" x14ac:dyDescent="0.2">
      <c r="L566" s="6"/>
      <c r="M566" s="7"/>
      <c r="N566" s="7"/>
      <c r="O566" s="7"/>
      <c r="P566" s="7"/>
      <c r="Q566" s="7"/>
      <c r="R566" s="7"/>
    </row>
    <row r="567" spans="12:18" x14ac:dyDescent="0.2">
      <c r="L567" s="6"/>
      <c r="M567" s="7"/>
      <c r="N567" s="7"/>
      <c r="O567" s="7"/>
      <c r="P567" s="7"/>
      <c r="Q567" s="7"/>
      <c r="R567" s="7"/>
    </row>
    <row r="568" spans="12:18" x14ac:dyDescent="0.2">
      <c r="L568" s="6"/>
      <c r="M568" s="7"/>
      <c r="N568" s="7"/>
      <c r="O568" s="7"/>
      <c r="P568" s="7"/>
      <c r="Q568" s="7"/>
      <c r="R568" s="7"/>
    </row>
    <row r="569" spans="12:18" x14ac:dyDescent="0.2">
      <c r="L569" s="6"/>
      <c r="M569" s="7"/>
      <c r="N569" s="7"/>
      <c r="O569" s="7"/>
      <c r="P569" s="7"/>
      <c r="Q569" s="7"/>
      <c r="R569" s="7"/>
    </row>
    <row r="570" spans="12:18" x14ac:dyDescent="0.2">
      <c r="L570" s="6"/>
      <c r="M570" s="7"/>
      <c r="N570" s="7"/>
      <c r="O570" s="7"/>
      <c r="P570" s="7"/>
      <c r="Q570" s="7"/>
      <c r="R570" s="7"/>
    </row>
    <row r="571" spans="12:18" x14ac:dyDescent="0.2">
      <c r="L571" s="6"/>
      <c r="M571" s="7"/>
      <c r="N571" s="7"/>
      <c r="O571" s="7"/>
      <c r="P571" s="7"/>
      <c r="Q571" s="7"/>
      <c r="R571" s="7"/>
    </row>
    <row r="572" spans="12:18" x14ac:dyDescent="0.2">
      <c r="L572" s="6"/>
      <c r="M572" s="7"/>
      <c r="N572" s="7"/>
      <c r="O572" s="7"/>
      <c r="P572" s="7"/>
      <c r="Q572" s="7"/>
      <c r="R572" s="7"/>
    </row>
    <row r="573" spans="12:18" x14ac:dyDescent="0.2">
      <c r="L573" s="6"/>
      <c r="M573" s="7"/>
      <c r="N573" s="7"/>
      <c r="O573" s="7"/>
      <c r="P573" s="7"/>
      <c r="Q573" s="7"/>
      <c r="R573" s="7"/>
    </row>
    <row r="574" spans="12:18" x14ac:dyDescent="0.2">
      <c r="L574" s="6"/>
      <c r="M574" s="7"/>
      <c r="N574" s="7"/>
      <c r="O574" s="7"/>
      <c r="P574" s="7"/>
      <c r="Q574" s="7"/>
      <c r="R574" s="7"/>
    </row>
    <row r="575" spans="12:18" x14ac:dyDescent="0.2">
      <c r="L575" s="6"/>
      <c r="M575" s="7"/>
      <c r="N575" s="7"/>
      <c r="O575" s="7"/>
      <c r="P575" s="7"/>
      <c r="Q575" s="7"/>
      <c r="R575" s="7"/>
    </row>
    <row r="576" spans="12:18" x14ac:dyDescent="0.2">
      <c r="L576" s="6"/>
      <c r="M576" s="7"/>
      <c r="N576" s="7"/>
      <c r="O576" s="7"/>
      <c r="P576" s="7"/>
      <c r="Q576" s="7"/>
      <c r="R576" s="7"/>
    </row>
    <row r="577" spans="12:18" x14ac:dyDescent="0.2">
      <c r="L577" s="6"/>
      <c r="M577" s="7"/>
      <c r="N577" s="7"/>
      <c r="O577" s="7"/>
      <c r="P577" s="7"/>
      <c r="Q577" s="7"/>
      <c r="R577" s="7"/>
    </row>
    <row r="578" spans="12:18" x14ac:dyDescent="0.2">
      <c r="L578" s="6"/>
      <c r="M578" s="7"/>
      <c r="N578" s="7"/>
      <c r="O578" s="7"/>
      <c r="P578" s="7"/>
      <c r="Q578" s="7"/>
      <c r="R578" s="7"/>
    </row>
    <row r="579" spans="12:18" x14ac:dyDescent="0.2">
      <c r="L579" s="6"/>
      <c r="M579" s="7"/>
      <c r="N579" s="7"/>
      <c r="O579" s="7"/>
      <c r="P579" s="7"/>
      <c r="Q579" s="7"/>
      <c r="R579" s="7"/>
    </row>
    <row r="580" spans="12:18" x14ac:dyDescent="0.2">
      <c r="L580" s="6"/>
      <c r="M580" s="7"/>
      <c r="N580" s="7"/>
      <c r="O580" s="7"/>
      <c r="P580" s="7"/>
      <c r="Q580" s="7"/>
      <c r="R580" s="7"/>
    </row>
    <row r="581" spans="12:18" x14ac:dyDescent="0.2">
      <c r="L581" s="6"/>
      <c r="M581" s="7"/>
      <c r="N581" s="7"/>
      <c r="O581" s="7"/>
      <c r="P581" s="7"/>
      <c r="Q581" s="7"/>
      <c r="R581" s="7"/>
    </row>
    <row r="582" spans="12:18" x14ac:dyDescent="0.2">
      <c r="L582" s="6"/>
      <c r="M582" s="7"/>
      <c r="N582" s="7"/>
      <c r="O582" s="7"/>
      <c r="P582" s="7"/>
      <c r="Q582" s="7"/>
      <c r="R582" s="7"/>
    </row>
    <row r="583" spans="12:18" x14ac:dyDescent="0.2">
      <c r="L583" s="6"/>
      <c r="M583" s="7"/>
      <c r="N583" s="7"/>
      <c r="O583" s="7"/>
      <c r="P583" s="7"/>
      <c r="Q583" s="7"/>
      <c r="R583" s="7"/>
    </row>
    <row r="584" spans="12:18" x14ac:dyDescent="0.2">
      <c r="L584" s="6"/>
      <c r="M584" s="7"/>
      <c r="N584" s="7"/>
      <c r="O584" s="7"/>
      <c r="P584" s="7"/>
      <c r="Q584" s="7"/>
      <c r="R584" s="7"/>
    </row>
    <row r="585" spans="12:18" x14ac:dyDescent="0.2">
      <c r="L585" s="6"/>
      <c r="M585" s="7"/>
      <c r="N585" s="7"/>
      <c r="O585" s="7"/>
      <c r="P585" s="7"/>
      <c r="Q585" s="7"/>
      <c r="R585" s="7"/>
    </row>
    <row r="586" spans="12:18" x14ac:dyDescent="0.2">
      <c r="L586" s="6"/>
      <c r="M586" s="7"/>
      <c r="N586" s="7"/>
      <c r="O586" s="7"/>
      <c r="P586" s="7"/>
      <c r="Q586" s="7"/>
      <c r="R586" s="7"/>
    </row>
    <row r="587" spans="12:18" x14ac:dyDescent="0.2">
      <c r="L587" s="6"/>
      <c r="M587" s="7"/>
      <c r="N587" s="7"/>
      <c r="O587" s="7"/>
      <c r="P587" s="7"/>
      <c r="Q587" s="7"/>
      <c r="R587" s="7"/>
    </row>
    <row r="588" spans="12:18" x14ac:dyDescent="0.2">
      <c r="L588" s="6"/>
      <c r="M588" s="7"/>
      <c r="N588" s="7"/>
      <c r="O588" s="7"/>
      <c r="P588" s="7"/>
      <c r="Q588" s="7"/>
      <c r="R588" s="7"/>
    </row>
    <row r="589" spans="12:18" x14ac:dyDescent="0.2">
      <c r="L589" s="6"/>
      <c r="M589" s="7"/>
      <c r="N589" s="7"/>
      <c r="O589" s="7"/>
      <c r="P589" s="7"/>
      <c r="Q589" s="7"/>
      <c r="R589" s="7"/>
    </row>
    <row r="590" spans="12:18" x14ac:dyDescent="0.2">
      <c r="L590" s="6"/>
      <c r="M590" s="7"/>
      <c r="N590" s="7"/>
      <c r="O590" s="7"/>
      <c r="P590" s="7"/>
      <c r="Q590" s="7"/>
      <c r="R590" s="7"/>
    </row>
    <row r="591" spans="12:18" x14ac:dyDescent="0.2">
      <c r="L591" s="6"/>
      <c r="M591" s="7"/>
      <c r="N591" s="7"/>
      <c r="O591" s="7"/>
      <c r="P591" s="7"/>
      <c r="Q591" s="7"/>
      <c r="R591" s="7"/>
    </row>
    <row r="592" spans="12:18" x14ac:dyDescent="0.2">
      <c r="L592" s="6"/>
      <c r="M592" s="7"/>
      <c r="N592" s="7"/>
      <c r="O592" s="7"/>
      <c r="P592" s="7"/>
      <c r="Q592" s="7"/>
      <c r="R592" s="7"/>
    </row>
    <row r="593" spans="12:18" x14ac:dyDescent="0.2">
      <c r="L593" s="6"/>
      <c r="M593" s="7"/>
      <c r="N593" s="7"/>
      <c r="O593" s="7"/>
      <c r="P593" s="7"/>
      <c r="Q593" s="7"/>
      <c r="R593" s="7"/>
    </row>
    <row r="594" spans="12:18" x14ac:dyDescent="0.2">
      <c r="L594" s="6"/>
      <c r="M594" s="7"/>
      <c r="N594" s="7"/>
      <c r="O594" s="7"/>
      <c r="P594" s="7"/>
      <c r="Q594" s="7"/>
      <c r="R594" s="7"/>
    </row>
    <row r="595" spans="12:18" x14ac:dyDescent="0.2">
      <c r="L595" s="6"/>
      <c r="M595" s="7"/>
      <c r="N595" s="7"/>
      <c r="O595" s="7"/>
      <c r="P595" s="7"/>
      <c r="Q595" s="7"/>
      <c r="R595" s="7"/>
    </row>
    <row r="596" spans="12:18" x14ac:dyDescent="0.2">
      <c r="L596" s="6"/>
      <c r="M596" s="7"/>
      <c r="N596" s="7"/>
      <c r="O596" s="7"/>
      <c r="P596" s="7"/>
      <c r="Q596" s="7"/>
      <c r="R596" s="7"/>
    </row>
    <row r="597" spans="12:18" x14ac:dyDescent="0.2">
      <c r="L597" s="6"/>
      <c r="M597" s="7"/>
      <c r="N597" s="7"/>
      <c r="O597" s="7"/>
      <c r="P597" s="7"/>
      <c r="Q597" s="7"/>
      <c r="R597" s="7"/>
    </row>
    <row r="598" spans="12:18" x14ac:dyDescent="0.2">
      <c r="L598" s="6"/>
      <c r="M598" s="7"/>
      <c r="N598" s="7"/>
      <c r="O598" s="7"/>
      <c r="P598" s="7"/>
      <c r="Q598" s="7"/>
      <c r="R598" s="7"/>
    </row>
    <row r="599" spans="12:18" x14ac:dyDescent="0.2">
      <c r="L599" s="6"/>
      <c r="M599" s="7"/>
      <c r="N599" s="7"/>
      <c r="O599" s="7"/>
      <c r="P599" s="7"/>
      <c r="Q599" s="7"/>
      <c r="R599" s="7"/>
    </row>
    <row r="600" spans="12:18" x14ac:dyDescent="0.2">
      <c r="L600" s="6"/>
      <c r="M600" s="7"/>
      <c r="N600" s="7"/>
      <c r="O600" s="7"/>
      <c r="P600" s="7"/>
      <c r="Q600" s="7"/>
      <c r="R600" s="7"/>
    </row>
    <row r="601" spans="12:18" x14ac:dyDescent="0.2">
      <c r="L601" s="6"/>
      <c r="M601" s="7"/>
      <c r="N601" s="7"/>
      <c r="O601" s="7"/>
      <c r="P601" s="7"/>
      <c r="Q601" s="7"/>
      <c r="R601" s="7"/>
    </row>
    <row r="602" spans="12:18" x14ac:dyDescent="0.2">
      <c r="L602" s="6"/>
      <c r="M602" s="7"/>
      <c r="N602" s="7"/>
      <c r="O602" s="7"/>
      <c r="P602" s="7"/>
      <c r="Q602" s="7"/>
      <c r="R602" s="7"/>
    </row>
    <row r="603" spans="12:18" x14ac:dyDescent="0.2">
      <c r="L603" s="6"/>
      <c r="M603" s="7"/>
      <c r="N603" s="7"/>
      <c r="O603" s="7"/>
      <c r="P603" s="7"/>
      <c r="Q603" s="7"/>
      <c r="R603" s="7"/>
    </row>
    <row r="604" spans="12:18" x14ac:dyDescent="0.2">
      <c r="L604" s="6"/>
      <c r="M604" s="7"/>
      <c r="N604" s="7"/>
      <c r="O604" s="7"/>
      <c r="P604" s="7"/>
      <c r="Q604" s="7"/>
      <c r="R604" s="7"/>
    </row>
    <row r="605" spans="12:18" x14ac:dyDescent="0.2">
      <c r="L605" s="6"/>
      <c r="M605" s="7"/>
      <c r="N605" s="7"/>
      <c r="O605" s="7"/>
      <c r="P605" s="7"/>
      <c r="Q605" s="7"/>
      <c r="R605" s="7"/>
    </row>
    <row r="606" spans="12:18" x14ac:dyDescent="0.2">
      <c r="L606" s="6"/>
      <c r="M606" s="7"/>
      <c r="N606" s="7"/>
      <c r="O606" s="7"/>
      <c r="P606" s="7"/>
      <c r="Q606" s="7"/>
      <c r="R606" s="7"/>
    </row>
    <row r="607" spans="12:18" x14ac:dyDescent="0.2">
      <c r="L607" s="6"/>
      <c r="M607" s="7"/>
      <c r="N607" s="7"/>
      <c r="O607" s="7"/>
      <c r="P607" s="7"/>
      <c r="Q607" s="7"/>
      <c r="R607" s="7"/>
    </row>
    <row r="608" spans="12:18" x14ac:dyDescent="0.2">
      <c r="L608" s="6"/>
      <c r="M608" s="7"/>
      <c r="N608" s="7"/>
      <c r="O608" s="7"/>
      <c r="P608" s="7"/>
      <c r="Q608" s="7"/>
      <c r="R608" s="7"/>
    </row>
    <row r="609" spans="12:18" x14ac:dyDescent="0.2">
      <c r="L609" s="6"/>
      <c r="M609" s="7"/>
      <c r="N609" s="7"/>
      <c r="O609" s="7"/>
      <c r="P609" s="7"/>
      <c r="Q609" s="7"/>
      <c r="R609" s="7"/>
    </row>
    <row r="610" spans="12:18" x14ac:dyDescent="0.2">
      <c r="L610" s="6"/>
      <c r="M610" s="7"/>
      <c r="N610" s="7"/>
      <c r="O610" s="7"/>
      <c r="P610" s="7"/>
      <c r="Q610" s="7"/>
      <c r="R610" s="7"/>
    </row>
    <row r="611" spans="12:18" x14ac:dyDescent="0.2">
      <c r="L611" s="6"/>
      <c r="M611" s="7"/>
      <c r="N611" s="7"/>
      <c r="O611" s="7"/>
      <c r="P611" s="7"/>
      <c r="Q611" s="7"/>
      <c r="R611" s="7"/>
    </row>
    <row r="612" spans="12:18" x14ac:dyDescent="0.2">
      <c r="L612" s="6"/>
      <c r="M612" s="7"/>
      <c r="N612" s="7"/>
      <c r="O612" s="7"/>
      <c r="P612" s="7"/>
      <c r="Q612" s="7"/>
      <c r="R612" s="7"/>
    </row>
    <row r="613" spans="12:18" x14ac:dyDescent="0.2">
      <c r="L613" s="6"/>
      <c r="M613" s="7"/>
      <c r="N613" s="7"/>
      <c r="O613" s="7"/>
      <c r="P613" s="7"/>
      <c r="Q613" s="7"/>
      <c r="R613" s="7"/>
    </row>
    <row r="614" spans="12:18" x14ac:dyDescent="0.2">
      <c r="L614" s="6"/>
      <c r="M614" s="7"/>
      <c r="N614" s="7"/>
      <c r="O614" s="7"/>
      <c r="P614" s="7"/>
      <c r="Q614" s="7"/>
      <c r="R614" s="7"/>
    </row>
    <row r="615" spans="12:18" x14ac:dyDescent="0.2">
      <c r="L615" s="6"/>
      <c r="M615" s="7"/>
      <c r="N615" s="7"/>
      <c r="O615" s="7"/>
      <c r="P615" s="7"/>
      <c r="Q615" s="7"/>
      <c r="R615" s="7"/>
    </row>
    <row r="616" spans="12:18" x14ac:dyDescent="0.2">
      <c r="L616" s="6"/>
      <c r="M616" s="7"/>
      <c r="N616" s="7"/>
      <c r="O616" s="7"/>
      <c r="P616" s="7"/>
      <c r="Q616" s="7"/>
      <c r="R616" s="7"/>
    </row>
    <row r="617" spans="12:18" x14ac:dyDescent="0.2">
      <c r="L617" s="6"/>
      <c r="M617" s="7"/>
      <c r="N617" s="7"/>
      <c r="O617" s="7"/>
      <c r="P617" s="7"/>
      <c r="Q617" s="7"/>
      <c r="R617" s="7"/>
    </row>
    <row r="618" spans="12:18" x14ac:dyDescent="0.2">
      <c r="L618" s="6"/>
      <c r="M618" s="7"/>
      <c r="N618" s="7"/>
      <c r="O618" s="7"/>
      <c r="P618" s="7"/>
      <c r="Q618" s="7"/>
      <c r="R618" s="7"/>
    </row>
    <row r="619" spans="12:18" x14ac:dyDescent="0.2">
      <c r="L619" s="6"/>
      <c r="M619" s="7"/>
      <c r="N619" s="7"/>
      <c r="O619" s="7"/>
      <c r="P619" s="7"/>
      <c r="Q619" s="7"/>
      <c r="R619" s="7"/>
    </row>
    <row r="620" spans="12:18" x14ac:dyDescent="0.2">
      <c r="L620" s="6"/>
      <c r="M620" s="7"/>
      <c r="N620" s="7"/>
      <c r="O620" s="7"/>
      <c r="P620" s="7"/>
      <c r="Q620" s="7"/>
      <c r="R620" s="7"/>
    </row>
    <row r="621" spans="12:18" x14ac:dyDescent="0.2">
      <c r="L621" s="6"/>
      <c r="M621" s="7"/>
      <c r="N621" s="7"/>
      <c r="O621" s="7"/>
      <c r="P621" s="7"/>
      <c r="Q621" s="7"/>
      <c r="R621" s="7"/>
    </row>
    <row r="622" spans="12:18" x14ac:dyDescent="0.2">
      <c r="L622" s="6"/>
      <c r="M622" s="7"/>
      <c r="N622" s="7"/>
      <c r="O622" s="7"/>
      <c r="P622" s="7"/>
      <c r="Q622" s="7"/>
      <c r="R622" s="7"/>
    </row>
    <row r="623" spans="12:18" x14ac:dyDescent="0.2">
      <c r="L623" s="6"/>
      <c r="M623" s="7"/>
      <c r="N623" s="7"/>
      <c r="O623" s="7"/>
      <c r="P623" s="7"/>
      <c r="Q623" s="7"/>
      <c r="R623" s="7"/>
    </row>
    <row r="624" spans="12:18" x14ac:dyDescent="0.2">
      <c r="L624" s="6"/>
      <c r="M624" s="7"/>
      <c r="N624" s="7"/>
      <c r="O624" s="7"/>
      <c r="P624" s="7"/>
      <c r="Q624" s="7"/>
      <c r="R624" s="7"/>
    </row>
    <row r="625" spans="12:18" x14ac:dyDescent="0.2">
      <c r="L625" s="6"/>
      <c r="M625" s="7"/>
      <c r="N625" s="7"/>
      <c r="O625" s="7"/>
      <c r="P625" s="7"/>
      <c r="Q625" s="7"/>
      <c r="R625" s="7"/>
    </row>
    <row r="626" spans="12:18" x14ac:dyDescent="0.2">
      <c r="L626" s="6"/>
      <c r="M626" s="7"/>
      <c r="N626" s="7"/>
      <c r="O626" s="7"/>
      <c r="P626" s="7"/>
      <c r="Q626" s="7"/>
      <c r="R626" s="7"/>
    </row>
    <row r="627" spans="12:18" x14ac:dyDescent="0.2">
      <c r="L627" s="6"/>
      <c r="M627" s="7"/>
      <c r="N627" s="7"/>
      <c r="O627" s="7"/>
      <c r="P627" s="7"/>
      <c r="Q627" s="7"/>
      <c r="R627" s="7"/>
    </row>
    <row r="628" spans="12:18" x14ac:dyDescent="0.2">
      <c r="L628" s="6"/>
      <c r="M628" s="7"/>
      <c r="N628" s="7"/>
      <c r="O628" s="7"/>
      <c r="P628" s="7"/>
      <c r="Q628" s="7"/>
      <c r="R628" s="7"/>
    </row>
    <row r="629" spans="12:18" x14ac:dyDescent="0.2">
      <c r="L629" s="6"/>
      <c r="M629" s="7"/>
      <c r="N629" s="7"/>
      <c r="O629" s="7"/>
      <c r="P629" s="7"/>
      <c r="Q629" s="7"/>
      <c r="R629" s="7"/>
    </row>
    <row r="630" spans="12:18" x14ac:dyDescent="0.2">
      <c r="L630" s="6"/>
      <c r="M630" s="7"/>
      <c r="N630" s="7"/>
      <c r="O630" s="7"/>
      <c r="P630" s="7"/>
      <c r="Q630" s="7"/>
      <c r="R630" s="7"/>
    </row>
    <row r="631" spans="12:18" x14ac:dyDescent="0.2">
      <c r="L631" s="6"/>
      <c r="M631" s="7"/>
      <c r="N631" s="7"/>
      <c r="O631" s="7"/>
      <c r="P631" s="7"/>
      <c r="Q631" s="7"/>
      <c r="R631" s="7"/>
    </row>
    <row r="632" spans="12:18" x14ac:dyDescent="0.2">
      <c r="L632" s="6"/>
      <c r="M632" s="7"/>
      <c r="N632" s="7"/>
      <c r="O632" s="7"/>
      <c r="P632" s="7"/>
      <c r="Q632" s="7"/>
      <c r="R632" s="7"/>
    </row>
    <row r="633" spans="12:18" x14ac:dyDescent="0.2">
      <c r="L633" s="6"/>
      <c r="M633" s="7"/>
      <c r="N633" s="7"/>
      <c r="O633" s="7"/>
      <c r="P633" s="7"/>
      <c r="Q633" s="7"/>
      <c r="R633" s="7"/>
    </row>
    <row r="634" spans="12:18" x14ac:dyDescent="0.2">
      <c r="L634" s="6"/>
      <c r="M634" s="7"/>
      <c r="N634" s="7"/>
      <c r="O634" s="7"/>
      <c r="P634" s="7"/>
      <c r="Q634" s="7"/>
      <c r="R634" s="7"/>
    </row>
    <row r="635" spans="12:18" x14ac:dyDescent="0.2">
      <c r="L635" s="6"/>
      <c r="M635" s="7"/>
      <c r="N635" s="7"/>
      <c r="O635" s="7"/>
      <c r="P635" s="7"/>
      <c r="Q635" s="7"/>
      <c r="R635" s="7"/>
    </row>
    <row r="636" spans="12:18" x14ac:dyDescent="0.2">
      <c r="L636" s="6"/>
      <c r="M636" s="7"/>
      <c r="N636" s="7"/>
      <c r="O636" s="7"/>
      <c r="P636" s="7"/>
      <c r="Q636" s="7"/>
      <c r="R636" s="7"/>
    </row>
    <row r="637" spans="12:18" x14ac:dyDescent="0.2">
      <c r="L637" s="6"/>
      <c r="M637" s="7"/>
      <c r="N637" s="7"/>
      <c r="O637" s="7"/>
      <c r="P637" s="7"/>
      <c r="Q637" s="7"/>
      <c r="R637" s="7"/>
    </row>
    <row r="638" spans="12:18" x14ac:dyDescent="0.2">
      <c r="L638" s="6"/>
      <c r="M638" s="7"/>
      <c r="N638" s="7"/>
      <c r="O638" s="7"/>
      <c r="P638" s="7"/>
      <c r="Q638" s="7"/>
      <c r="R638" s="7"/>
    </row>
    <row r="639" spans="12:18" x14ac:dyDescent="0.2">
      <c r="L639" s="6"/>
      <c r="M639" s="7"/>
      <c r="N639" s="7"/>
      <c r="O639" s="7"/>
      <c r="P639" s="7"/>
      <c r="Q639" s="7"/>
      <c r="R639" s="7"/>
    </row>
    <row r="640" spans="12:18" x14ac:dyDescent="0.2">
      <c r="L640" s="6"/>
      <c r="M640" s="7"/>
      <c r="N640" s="7"/>
      <c r="O640" s="7"/>
      <c r="P640" s="7"/>
      <c r="Q640" s="7"/>
      <c r="R640" s="7"/>
    </row>
    <row r="641" spans="12:18" x14ac:dyDescent="0.2">
      <c r="L641" s="6"/>
      <c r="M641" s="7"/>
      <c r="N641" s="7"/>
      <c r="O641" s="7"/>
      <c r="P641" s="7"/>
      <c r="Q641" s="7"/>
      <c r="R641" s="7"/>
    </row>
    <row r="642" spans="12:18" x14ac:dyDescent="0.2">
      <c r="L642" s="6"/>
      <c r="M642" s="7"/>
      <c r="N642" s="7"/>
      <c r="O642" s="7"/>
      <c r="P642" s="7"/>
      <c r="Q642" s="7"/>
      <c r="R642" s="7"/>
    </row>
    <row r="643" spans="12:18" x14ac:dyDescent="0.2">
      <c r="L643" s="6"/>
      <c r="M643" s="7"/>
      <c r="N643" s="7"/>
      <c r="O643" s="7"/>
      <c r="P643" s="7"/>
      <c r="Q643" s="7"/>
      <c r="R643" s="7"/>
    </row>
    <row r="644" spans="12:18" x14ac:dyDescent="0.2">
      <c r="L644" s="6"/>
      <c r="M644" s="7"/>
      <c r="N644" s="7"/>
      <c r="O644" s="7"/>
      <c r="P644" s="7"/>
      <c r="Q644" s="7"/>
      <c r="R644" s="7"/>
    </row>
    <row r="645" spans="12:18" x14ac:dyDescent="0.2">
      <c r="L645" s="6"/>
      <c r="M645" s="7"/>
      <c r="N645" s="7"/>
      <c r="O645" s="7"/>
      <c r="P645" s="7"/>
      <c r="Q645" s="7"/>
      <c r="R645" s="7"/>
    </row>
    <row r="646" spans="12:18" x14ac:dyDescent="0.2">
      <c r="L646" s="6"/>
      <c r="M646" s="7"/>
      <c r="N646" s="7"/>
      <c r="O646" s="7"/>
      <c r="P646" s="7"/>
      <c r="Q646" s="7"/>
      <c r="R646" s="7"/>
    </row>
    <row r="647" spans="12:18" x14ac:dyDescent="0.2">
      <c r="L647" s="6"/>
      <c r="M647" s="7"/>
      <c r="N647" s="7"/>
      <c r="O647" s="7"/>
      <c r="P647" s="7"/>
      <c r="Q647" s="7"/>
      <c r="R647" s="7"/>
    </row>
    <row r="648" spans="12:18" x14ac:dyDescent="0.2">
      <c r="L648" s="6"/>
      <c r="M648" s="7"/>
      <c r="N648" s="7"/>
      <c r="O648" s="7"/>
      <c r="P648" s="7"/>
      <c r="Q648" s="7"/>
      <c r="R648" s="7"/>
    </row>
    <row r="649" spans="12:18" x14ac:dyDescent="0.2">
      <c r="L649" s="6"/>
      <c r="M649" s="7"/>
      <c r="N649" s="7"/>
      <c r="O649" s="7"/>
      <c r="P649" s="7"/>
      <c r="Q649" s="7"/>
      <c r="R649" s="7"/>
    </row>
    <row r="650" spans="12:18" x14ac:dyDescent="0.2">
      <c r="L650" s="6"/>
      <c r="M650" s="7"/>
      <c r="N650" s="7"/>
      <c r="O650" s="7"/>
      <c r="P650" s="7"/>
      <c r="Q650" s="7"/>
      <c r="R650" s="7"/>
    </row>
    <row r="651" spans="12:18" x14ac:dyDescent="0.2">
      <c r="L651" s="6"/>
      <c r="M651" s="7"/>
      <c r="N651" s="7"/>
      <c r="O651" s="7"/>
      <c r="P651" s="7"/>
      <c r="Q651" s="7"/>
      <c r="R651" s="7"/>
    </row>
    <row r="652" spans="12:18" x14ac:dyDescent="0.2">
      <c r="L652" s="6"/>
      <c r="M652" s="7"/>
      <c r="N652" s="7"/>
      <c r="O652" s="7"/>
      <c r="P652" s="7"/>
      <c r="Q652" s="7"/>
      <c r="R652" s="7"/>
    </row>
    <row r="653" spans="12:18" x14ac:dyDescent="0.2">
      <c r="L653" s="6"/>
      <c r="M653" s="7"/>
      <c r="N653" s="7"/>
      <c r="O653" s="7"/>
      <c r="P653" s="7"/>
      <c r="Q653" s="7"/>
      <c r="R653" s="7"/>
    </row>
    <row r="654" spans="12:18" x14ac:dyDescent="0.2">
      <c r="L654" s="6"/>
      <c r="M654" s="7"/>
      <c r="N654" s="7"/>
      <c r="O654" s="7"/>
      <c r="P654" s="7"/>
      <c r="Q654" s="7"/>
      <c r="R654" s="7"/>
    </row>
    <row r="655" spans="12:18" x14ac:dyDescent="0.2">
      <c r="L655" s="6"/>
      <c r="M655" s="7"/>
      <c r="N655" s="7"/>
      <c r="O655" s="7"/>
      <c r="P655" s="7"/>
      <c r="Q655" s="7"/>
      <c r="R655" s="7"/>
    </row>
    <row r="656" spans="12:18" x14ac:dyDescent="0.2">
      <c r="L656" s="6"/>
      <c r="M656" s="7"/>
      <c r="N656" s="7"/>
      <c r="O656" s="7"/>
      <c r="P656" s="7"/>
      <c r="Q656" s="7"/>
      <c r="R656" s="7"/>
    </row>
    <row r="657" spans="12:18" x14ac:dyDescent="0.2">
      <c r="L657" s="6"/>
      <c r="M657" s="7"/>
      <c r="N657" s="7"/>
      <c r="O657" s="7"/>
      <c r="P657" s="7"/>
      <c r="Q657" s="7"/>
      <c r="R657" s="7"/>
    </row>
    <row r="658" spans="12:18" x14ac:dyDescent="0.2">
      <c r="L658" s="6"/>
      <c r="M658" s="7"/>
      <c r="N658" s="7"/>
      <c r="O658" s="7"/>
      <c r="P658" s="7"/>
      <c r="Q658" s="7"/>
      <c r="R658" s="7"/>
    </row>
    <row r="659" spans="12:18" x14ac:dyDescent="0.2">
      <c r="L659" s="6"/>
      <c r="M659" s="7"/>
      <c r="N659" s="7"/>
      <c r="O659" s="7"/>
      <c r="P659" s="7"/>
      <c r="Q659" s="7"/>
      <c r="R659" s="7"/>
    </row>
    <row r="660" spans="12:18" x14ac:dyDescent="0.2">
      <c r="L660" s="6"/>
      <c r="M660" s="7"/>
      <c r="N660" s="7"/>
      <c r="O660" s="7"/>
      <c r="P660" s="7"/>
      <c r="Q660" s="7"/>
      <c r="R660" s="7"/>
    </row>
    <row r="661" spans="12:18" x14ac:dyDescent="0.2">
      <c r="L661" s="6"/>
      <c r="M661" s="7"/>
      <c r="N661" s="7"/>
      <c r="O661" s="7"/>
      <c r="P661" s="7"/>
      <c r="Q661" s="7"/>
      <c r="R661" s="7"/>
    </row>
    <row r="662" spans="12:18" x14ac:dyDescent="0.2">
      <c r="L662" s="6"/>
      <c r="M662" s="7"/>
      <c r="N662" s="7"/>
      <c r="O662" s="7"/>
      <c r="P662" s="7"/>
      <c r="Q662" s="7"/>
      <c r="R662" s="7"/>
    </row>
    <row r="663" spans="12:18" x14ac:dyDescent="0.2">
      <c r="L663" s="6"/>
      <c r="M663" s="7"/>
      <c r="N663" s="7"/>
      <c r="O663" s="7"/>
      <c r="P663" s="7"/>
      <c r="Q663" s="7"/>
      <c r="R663" s="7"/>
    </row>
    <row r="664" spans="12:18" x14ac:dyDescent="0.2">
      <c r="L664" s="6"/>
      <c r="M664" s="7"/>
      <c r="N664" s="7"/>
      <c r="O664" s="7"/>
      <c r="P664" s="7"/>
      <c r="Q664" s="7"/>
      <c r="R664" s="7"/>
    </row>
    <row r="665" spans="12:18" x14ac:dyDescent="0.2">
      <c r="L665" s="6"/>
      <c r="M665" s="7"/>
      <c r="N665" s="7"/>
      <c r="O665" s="7"/>
      <c r="P665" s="7"/>
      <c r="Q665" s="7"/>
      <c r="R665" s="7"/>
    </row>
    <row r="666" spans="12:18" x14ac:dyDescent="0.2">
      <c r="L666" s="6"/>
      <c r="M666" s="7"/>
      <c r="N666" s="7"/>
      <c r="O666" s="7"/>
      <c r="P666" s="7"/>
      <c r="Q666" s="7"/>
      <c r="R666" s="7"/>
    </row>
    <row r="667" spans="12:18" x14ac:dyDescent="0.2">
      <c r="L667" s="6"/>
      <c r="M667" s="7"/>
      <c r="N667" s="7"/>
      <c r="O667" s="7"/>
      <c r="P667" s="7"/>
      <c r="Q667" s="7"/>
      <c r="R667" s="7"/>
    </row>
    <row r="668" spans="12:18" x14ac:dyDescent="0.2">
      <c r="L668" s="6"/>
      <c r="M668" s="7"/>
      <c r="N668" s="7"/>
      <c r="O668" s="7"/>
      <c r="P668" s="7"/>
      <c r="Q668" s="7"/>
      <c r="R668" s="7"/>
    </row>
    <row r="669" spans="12:18" x14ac:dyDescent="0.2">
      <c r="L669" s="6"/>
      <c r="M669" s="7"/>
      <c r="N669" s="7"/>
      <c r="O669" s="7"/>
      <c r="P669" s="7"/>
      <c r="Q669" s="7"/>
      <c r="R669" s="7"/>
    </row>
    <row r="670" spans="12:18" x14ac:dyDescent="0.2">
      <c r="L670" s="6"/>
      <c r="M670" s="7"/>
      <c r="N670" s="7"/>
      <c r="O670" s="7"/>
      <c r="P670" s="7"/>
      <c r="Q670" s="7"/>
      <c r="R670" s="7"/>
    </row>
    <row r="671" spans="12:18" x14ac:dyDescent="0.2">
      <c r="L671" s="6"/>
      <c r="M671" s="7"/>
      <c r="N671" s="7"/>
      <c r="O671" s="7"/>
      <c r="P671" s="7"/>
      <c r="Q671" s="7"/>
      <c r="R671" s="7"/>
    </row>
    <row r="672" spans="12:18" x14ac:dyDescent="0.2">
      <c r="L672" s="6"/>
      <c r="M672" s="7"/>
      <c r="N672" s="7"/>
      <c r="O672" s="7"/>
      <c r="P672" s="7"/>
      <c r="Q672" s="7"/>
      <c r="R672" s="7"/>
    </row>
    <row r="673" spans="12:18" x14ac:dyDescent="0.2">
      <c r="L673" s="6"/>
      <c r="M673" s="7"/>
      <c r="N673" s="7"/>
      <c r="O673" s="7"/>
      <c r="P673" s="7"/>
      <c r="Q673" s="7"/>
      <c r="R673" s="7"/>
    </row>
    <row r="674" spans="12:18" x14ac:dyDescent="0.2">
      <c r="L674" s="6"/>
      <c r="M674" s="7"/>
      <c r="N674" s="7"/>
      <c r="O674" s="7"/>
      <c r="P674" s="7"/>
      <c r="Q674" s="7"/>
      <c r="R674" s="7"/>
    </row>
    <row r="675" spans="12:18" x14ac:dyDescent="0.2">
      <c r="L675" s="6"/>
      <c r="M675" s="7"/>
      <c r="N675" s="7"/>
      <c r="O675" s="7"/>
      <c r="P675" s="7"/>
      <c r="Q675" s="7"/>
      <c r="R675" s="7"/>
    </row>
    <row r="676" spans="12:18" x14ac:dyDescent="0.2">
      <c r="L676" s="6"/>
      <c r="M676" s="7"/>
      <c r="N676" s="7"/>
      <c r="O676" s="7"/>
      <c r="P676" s="7"/>
      <c r="Q676" s="7"/>
      <c r="R676" s="7"/>
    </row>
    <row r="677" spans="12:18" x14ac:dyDescent="0.2">
      <c r="L677" s="6"/>
      <c r="M677" s="7"/>
      <c r="N677" s="7"/>
      <c r="O677" s="7"/>
      <c r="P677" s="7"/>
      <c r="Q677" s="7"/>
      <c r="R677" s="7"/>
    </row>
    <row r="678" spans="12:18" x14ac:dyDescent="0.2">
      <c r="L678" s="6"/>
      <c r="M678" s="7"/>
      <c r="N678" s="7"/>
      <c r="O678" s="7"/>
      <c r="P678" s="7"/>
      <c r="Q678" s="7"/>
      <c r="R678" s="7"/>
    </row>
    <row r="679" spans="12:18" x14ac:dyDescent="0.2">
      <c r="L679" s="6"/>
      <c r="M679" s="7"/>
      <c r="N679" s="7"/>
      <c r="O679" s="7"/>
      <c r="P679" s="7"/>
      <c r="Q679" s="7"/>
      <c r="R679" s="7"/>
    </row>
    <row r="680" spans="12:18" x14ac:dyDescent="0.2">
      <c r="L680" s="6"/>
      <c r="M680" s="7"/>
      <c r="N680" s="7"/>
      <c r="O680" s="7"/>
      <c r="P680" s="7"/>
      <c r="Q680" s="7"/>
      <c r="R680" s="7"/>
    </row>
    <row r="681" spans="12:18" x14ac:dyDescent="0.2">
      <c r="L681" s="6"/>
      <c r="M681" s="7"/>
      <c r="N681" s="7"/>
      <c r="O681" s="7"/>
      <c r="P681" s="7"/>
      <c r="Q681" s="7"/>
      <c r="R681" s="7"/>
    </row>
    <row r="682" spans="12:18" x14ac:dyDescent="0.2">
      <c r="L682" s="6"/>
      <c r="M682" s="7"/>
      <c r="N682" s="7"/>
      <c r="O682" s="7"/>
      <c r="P682" s="7"/>
      <c r="Q682" s="7"/>
      <c r="R682" s="7"/>
    </row>
    <row r="683" spans="12:18" x14ac:dyDescent="0.2">
      <c r="L683" s="6"/>
      <c r="M683" s="7"/>
      <c r="N683" s="7"/>
      <c r="O683" s="7"/>
      <c r="P683" s="7"/>
      <c r="Q683" s="7"/>
      <c r="R683" s="7"/>
    </row>
    <row r="684" spans="12:18" x14ac:dyDescent="0.2">
      <c r="L684" s="6"/>
      <c r="M684" s="7"/>
      <c r="N684" s="7"/>
      <c r="O684" s="7"/>
      <c r="P684" s="7"/>
      <c r="Q684" s="7"/>
      <c r="R684" s="7"/>
    </row>
    <row r="685" spans="12:18" x14ac:dyDescent="0.2">
      <c r="L685" s="6"/>
      <c r="M685" s="7"/>
      <c r="N685" s="7"/>
      <c r="O685" s="7"/>
      <c r="P685" s="7"/>
      <c r="Q685" s="7"/>
      <c r="R685" s="7"/>
    </row>
    <row r="686" spans="12:18" x14ac:dyDescent="0.2">
      <c r="L686" s="6"/>
      <c r="M686" s="7"/>
      <c r="N686" s="7"/>
      <c r="O686" s="7"/>
      <c r="P686" s="7"/>
      <c r="Q686" s="7"/>
      <c r="R686" s="7"/>
    </row>
    <row r="687" spans="12:18" x14ac:dyDescent="0.2">
      <c r="L687" s="6"/>
      <c r="M687" s="7"/>
      <c r="N687" s="7"/>
      <c r="O687" s="7"/>
      <c r="P687" s="7"/>
      <c r="Q687" s="7"/>
      <c r="R687" s="7"/>
    </row>
    <row r="688" spans="12:18" x14ac:dyDescent="0.2">
      <c r="L688" s="6"/>
      <c r="M688" s="7"/>
      <c r="N688" s="7"/>
      <c r="O688" s="7"/>
      <c r="P688" s="7"/>
      <c r="Q688" s="7"/>
      <c r="R688" s="7"/>
    </row>
    <row r="689" spans="12:18" x14ac:dyDescent="0.2">
      <c r="L689" s="6"/>
      <c r="M689" s="7"/>
      <c r="N689" s="7"/>
      <c r="O689" s="7"/>
      <c r="P689" s="7"/>
      <c r="Q689" s="7"/>
      <c r="R689" s="7"/>
    </row>
    <row r="690" spans="12:18" x14ac:dyDescent="0.2">
      <c r="L690" s="6"/>
      <c r="M690" s="7"/>
      <c r="N690" s="7"/>
      <c r="O690" s="7"/>
      <c r="P690" s="7"/>
      <c r="Q690" s="7"/>
      <c r="R690" s="7"/>
    </row>
    <row r="691" spans="12:18" x14ac:dyDescent="0.2">
      <c r="L691" s="6"/>
      <c r="M691" s="7"/>
      <c r="N691" s="7"/>
      <c r="O691" s="7"/>
      <c r="P691" s="7"/>
      <c r="Q691" s="7"/>
      <c r="R691" s="7"/>
    </row>
    <row r="692" spans="12:18" x14ac:dyDescent="0.2">
      <c r="L692" s="6"/>
      <c r="M692" s="7"/>
      <c r="N692" s="7"/>
      <c r="O692" s="7"/>
      <c r="P692" s="7"/>
      <c r="Q692" s="7"/>
      <c r="R692" s="7"/>
    </row>
    <row r="693" spans="12:18" x14ac:dyDescent="0.2">
      <c r="L693" s="6"/>
      <c r="M693" s="7"/>
      <c r="N693" s="7"/>
      <c r="O693" s="7"/>
      <c r="P693" s="7"/>
      <c r="Q693" s="7"/>
      <c r="R693" s="7"/>
    </row>
    <row r="694" spans="12:18" x14ac:dyDescent="0.2">
      <c r="L694" s="6"/>
      <c r="M694" s="7"/>
      <c r="N694" s="7"/>
      <c r="O694" s="7"/>
      <c r="P694" s="7"/>
      <c r="Q694" s="7"/>
      <c r="R694" s="7"/>
    </row>
    <row r="695" spans="12:18" x14ac:dyDescent="0.2">
      <c r="L695" s="6"/>
      <c r="M695" s="7"/>
      <c r="N695" s="7"/>
      <c r="O695" s="7"/>
      <c r="P695" s="7"/>
      <c r="Q695" s="7"/>
      <c r="R695" s="7"/>
    </row>
    <row r="696" spans="12:18" x14ac:dyDescent="0.2">
      <c r="L696" s="6"/>
      <c r="M696" s="7"/>
      <c r="N696" s="7"/>
      <c r="O696" s="7"/>
      <c r="P696" s="7"/>
      <c r="Q696" s="7"/>
      <c r="R696" s="7"/>
    </row>
    <row r="697" spans="12:18" x14ac:dyDescent="0.2">
      <c r="L697" s="6"/>
      <c r="M697" s="7"/>
      <c r="N697" s="7"/>
      <c r="O697" s="7"/>
      <c r="P697" s="7"/>
      <c r="Q697" s="7"/>
      <c r="R697" s="7"/>
    </row>
    <row r="698" spans="12:18" x14ac:dyDescent="0.2">
      <c r="L698" s="6"/>
      <c r="M698" s="7"/>
      <c r="N698" s="7"/>
      <c r="O698" s="7"/>
      <c r="P698" s="7"/>
      <c r="Q698" s="7"/>
      <c r="R698" s="7"/>
    </row>
    <row r="699" spans="12:18" x14ac:dyDescent="0.2">
      <c r="L699" s="6"/>
      <c r="M699" s="7"/>
      <c r="N699" s="7"/>
      <c r="O699" s="7"/>
      <c r="P699" s="7"/>
      <c r="Q699" s="7"/>
      <c r="R699" s="7"/>
    </row>
    <row r="700" spans="12:18" x14ac:dyDescent="0.2">
      <c r="L700" s="6"/>
      <c r="M700" s="7"/>
      <c r="N700" s="7"/>
      <c r="O700" s="7"/>
      <c r="P700" s="7"/>
      <c r="Q700" s="7"/>
      <c r="R700" s="7"/>
    </row>
    <row r="701" spans="12:18" x14ac:dyDescent="0.2">
      <c r="L701" s="6"/>
      <c r="M701" s="7"/>
      <c r="N701" s="7"/>
      <c r="O701" s="7"/>
      <c r="P701" s="7"/>
      <c r="Q701" s="7"/>
      <c r="R701" s="7"/>
    </row>
    <row r="702" spans="12:18" x14ac:dyDescent="0.2">
      <c r="L702" s="6"/>
      <c r="M702" s="7"/>
      <c r="N702" s="7"/>
      <c r="O702" s="7"/>
      <c r="P702" s="7"/>
      <c r="Q702" s="7"/>
      <c r="R702" s="7"/>
    </row>
    <row r="703" spans="12:18" x14ac:dyDescent="0.2">
      <c r="L703" s="6"/>
      <c r="M703" s="7"/>
      <c r="N703" s="7"/>
      <c r="O703" s="7"/>
      <c r="P703" s="7"/>
      <c r="Q703" s="7"/>
      <c r="R703" s="7"/>
    </row>
    <row r="704" spans="12:18" x14ac:dyDescent="0.2">
      <c r="L704" s="6"/>
      <c r="M704" s="7"/>
      <c r="N704" s="7"/>
      <c r="O704" s="7"/>
      <c r="P704" s="7"/>
      <c r="Q704" s="7"/>
      <c r="R704" s="7"/>
    </row>
    <row r="705" spans="12:18" x14ac:dyDescent="0.2">
      <c r="L705" s="6"/>
      <c r="M705" s="7"/>
      <c r="N705" s="7"/>
      <c r="O705" s="7"/>
      <c r="P705" s="7"/>
      <c r="Q705" s="7"/>
      <c r="R705" s="7"/>
    </row>
    <row r="706" spans="12:18" x14ac:dyDescent="0.2">
      <c r="L706" s="6"/>
      <c r="M706" s="7"/>
      <c r="N706" s="7"/>
      <c r="O706" s="7"/>
      <c r="P706" s="7"/>
      <c r="Q706" s="7"/>
      <c r="R706" s="7"/>
    </row>
    <row r="707" spans="12:18" x14ac:dyDescent="0.2">
      <c r="L707" s="6"/>
      <c r="M707" s="7"/>
      <c r="N707" s="7"/>
      <c r="O707" s="7"/>
      <c r="P707" s="7"/>
      <c r="Q707" s="7"/>
      <c r="R707" s="7"/>
    </row>
    <row r="708" spans="12:18" x14ac:dyDescent="0.2">
      <c r="L708" s="6"/>
      <c r="M708" s="7"/>
      <c r="N708" s="7"/>
      <c r="O708" s="7"/>
      <c r="P708" s="7"/>
      <c r="Q708" s="7"/>
      <c r="R708" s="7"/>
    </row>
    <row r="709" spans="12:18" x14ac:dyDescent="0.2">
      <c r="L709" s="6"/>
      <c r="M709" s="7"/>
      <c r="N709" s="7"/>
      <c r="O709" s="7"/>
      <c r="P709" s="7"/>
      <c r="Q709" s="7"/>
      <c r="R709" s="7"/>
    </row>
    <row r="710" spans="12:18" x14ac:dyDescent="0.2">
      <c r="L710" s="6"/>
      <c r="M710" s="7"/>
      <c r="N710" s="7"/>
      <c r="O710" s="7"/>
      <c r="P710" s="7"/>
      <c r="Q710" s="7"/>
      <c r="R710" s="7"/>
    </row>
    <row r="711" spans="12:18" x14ac:dyDescent="0.2">
      <c r="L711" s="6"/>
      <c r="M711" s="7"/>
      <c r="N711" s="7"/>
      <c r="O711" s="7"/>
      <c r="P711" s="7"/>
      <c r="Q711" s="7"/>
      <c r="R711" s="7"/>
    </row>
    <row r="712" spans="12:18" x14ac:dyDescent="0.2">
      <c r="L712" s="6"/>
      <c r="M712" s="7"/>
      <c r="N712" s="7"/>
      <c r="O712" s="7"/>
      <c r="P712" s="7"/>
      <c r="Q712" s="7"/>
      <c r="R712" s="7"/>
    </row>
    <row r="713" spans="12:18" x14ac:dyDescent="0.2">
      <c r="L713" s="6"/>
      <c r="M713" s="7"/>
      <c r="N713" s="7"/>
      <c r="O713" s="7"/>
      <c r="P713" s="7"/>
      <c r="Q713" s="7"/>
      <c r="R713" s="7"/>
    </row>
    <row r="714" spans="12:18" x14ac:dyDescent="0.2">
      <c r="L714" s="6"/>
      <c r="M714" s="7"/>
      <c r="N714" s="7"/>
      <c r="O714" s="7"/>
      <c r="P714" s="7"/>
      <c r="Q714" s="7"/>
      <c r="R714" s="7"/>
    </row>
    <row r="715" spans="12:18" x14ac:dyDescent="0.2">
      <c r="L715" s="6"/>
      <c r="M715" s="7"/>
      <c r="N715" s="7"/>
      <c r="O715" s="7"/>
      <c r="P715" s="7"/>
      <c r="Q715" s="7"/>
      <c r="R715" s="7"/>
    </row>
    <row r="716" spans="12:18" x14ac:dyDescent="0.2">
      <c r="L716" s="6"/>
      <c r="M716" s="7"/>
      <c r="N716" s="7"/>
      <c r="O716" s="7"/>
      <c r="P716" s="7"/>
      <c r="Q716" s="7"/>
      <c r="R716" s="7"/>
    </row>
    <row r="717" spans="12:18" x14ac:dyDescent="0.2">
      <c r="L717" s="6"/>
      <c r="M717" s="7"/>
      <c r="N717" s="7"/>
      <c r="O717" s="7"/>
      <c r="P717" s="7"/>
      <c r="Q717" s="7"/>
      <c r="R717" s="7"/>
    </row>
    <row r="718" spans="12:18" x14ac:dyDescent="0.2">
      <c r="L718" s="6"/>
      <c r="M718" s="7"/>
      <c r="N718" s="7"/>
      <c r="O718" s="7"/>
      <c r="P718" s="7"/>
      <c r="Q718" s="7"/>
      <c r="R718" s="7"/>
    </row>
    <row r="719" spans="12:18" x14ac:dyDescent="0.2">
      <c r="L719" s="6"/>
      <c r="M719" s="7"/>
      <c r="N719" s="7"/>
      <c r="O719" s="7"/>
      <c r="P719" s="7"/>
      <c r="Q719" s="7"/>
      <c r="R719" s="7"/>
    </row>
    <row r="720" spans="12:18" x14ac:dyDescent="0.2">
      <c r="L720" s="6"/>
      <c r="M720" s="7"/>
      <c r="N720" s="7"/>
      <c r="O720" s="7"/>
      <c r="P720" s="7"/>
      <c r="Q720" s="7"/>
      <c r="R720" s="7"/>
    </row>
    <row r="721" spans="12:18" x14ac:dyDescent="0.2">
      <c r="L721" s="6"/>
      <c r="M721" s="7"/>
      <c r="N721" s="7"/>
      <c r="O721" s="7"/>
      <c r="P721" s="7"/>
      <c r="Q721" s="7"/>
      <c r="R721"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A630-15BD-1141-91E3-483EECB4D803}">
  <dimension ref="A2:L34"/>
  <sheetViews>
    <sheetView workbookViewId="0">
      <selection activeCell="G4" sqref="G4"/>
    </sheetView>
  </sheetViews>
  <sheetFormatPr baseColWidth="10" defaultRowHeight="16" x14ac:dyDescent="0.2"/>
  <cols>
    <col min="1" max="1" width="18" customWidth="1"/>
    <col min="5" max="5" width="18" bestFit="1" customWidth="1"/>
    <col min="10" max="10" width="19.1640625" bestFit="1" customWidth="1"/>
    <col min="11" max="11" width="14" bestFit="1" customWidth="1"/>
  </cols>
  <sheetData>
    <row r="2" spans="1:12" x14ac:dyDescent="0.2">
      <c r="J2" t="s">
        <v>41</v>
      </c>
    </row>
    <row r="3" spans="1:12" x14ac:dyDescent="0.2">
      <c r="A3" t="s">
        <v>19</v>
      </c>
      <c r="B3" s="5">
        <v>28000</v>
      </c>
      <c r="C3" t="s">
        <v>30</v>
      </c>
      <c r="D3" t="s">
        <v>164</v>
      </c>
      <c r="F3" t="s">
        <v>21</v>
      </c>
      <c r="G3" t="s">
        <v>22</v>
      </c>
      <c r="H3" t="s">
        <v>34</v>
      </c>
      <c r="I3" t="s">
        <v>31</v>
      </c>
      <c r="J3" t="s">
        <v>42</v>
      </c>
      <c r="K3" t="s">
        <v>57</v>
      </c>
      <c r="L3" t="s">
        <v>58</v>
      </c>
    </row>
    <row r="4" spans="1:12" x14ac:dyDescent="0.2">
      <c r="A4" t="s">
        <v>20</v>
      </c>
      <c r="B4">
        <f>SUM(C4:D4)</f>
        <v>55500</v>
      </c>
      <c r="C4">
        <v>500</v>
      </c>
      <c r="D4">
        <v>55000</v>
      </c>
      <c r="F4">
        <v>72999</v>
      </c>
      <c r="G4" s="5">
        <f>2378.3*8</f>
        <v>19026.400000000001</v>
      </c>
      <c r="H4" s="5">
        <f>1720*31</f>
        <v>53320</v>
      </c>
      <c r="I4" s="5">
        <v>0.1414</v>
      </c>
      <c r="J4">
        <f>H4*0.062</f>
        <v>3305.84</v>
      </c>
      <c r="K4">
        <f>0.0145*H4</f>
        <v>773.14</v>
      </c>
      <c r="L4">
        <f>I4*H4</f>
        <v>7539.4480000000003</v>
      </c>
    </row>
    <row r="5" spans="1:12" x14ac:dyDescent="0.2">
      <c r="A5" t="s">
        <v>24</v>
      </c>
      <c r="B5">
        <f>B4-B3</f>
        <v>27500</v>
      </c>
      <c r="E5" t="s">
        <v>53</v>
      </c>
    </row>
    <row r="6" spans="1:12" x14ac:dyDescent="0.2">
      <c r="A6" t="s">
        <v>29</v>
      </c>
      <c r="B6">
        <f>B3*C6/12</f>
        <v>14000</v>
      </c>
      <c r="C6" s="5">
        <v>6</v>
      </c>
      <c r="D6" t="s">
        <v>43</v>
      </c>
      <c r="F6">
        <f>F4-17000</f>
        <v>55999</v>
      </c>
      <c r="G6" t="s">
        <v>36</v>
      </c>
      <c r="K6" t="s">
        <v>54</v>
      </c>
    </row>
    <row r="7" spans="1:12" x14ac:dyDescent="0.2">
      <c r="A7" t="s">
        <v>23</v>
      </c>
      <c r="B7">
        <f>B5-B6</f>
        <v>13500</v>
      </c>
      <c r="F7">
        <f>0.6*F6</f>
        <v>33599.4</v>
      </c>
      <c r="G7" t="s">
        <v>37</v>
      </c>
      <c r="J7" t="s">
        <v>56</v>
      </c>
      <c r="K7">
        <f>1363.62</f>
        <v>1363.62</v>
      </c>
    </row>
    <row r="8" spans="1:12" x14ac:dyDescent="0.2">
      <c r="J8" t="s">
        <v>55</v>
      </c>
      <c r="K8">
        <f>H4/52-H4*I4/52-J4/52-K4/52</f>
        <v>801.95330769230782</v>
      </c>
    </row>
    <row r="10" spans="1:12" x14ac:dyDescent="0.2">
      <c r="A10" t="s">
        <v>25</v>
      </c>
      <c r="B10">
        <f>SUM(B6:B7)</f>
        <v>27500</v>
      </c>
    </row>
    <row r="12" spans="1:12" x14ac:dyDescent="0.2">
      <c r="L12" t="s">
        <v>82</v>
      </c>
    </row>
    <row r="13" spans="1:12" x14ac:dyDescent="0.2">
      <c r="A13" t="s">
        <v>61</v>
      </c>
      <c r="E13" t="s">
        <v>26</v>
      </c>
      <c r="F13" t="s">
        <v>60</v>
      </c>
      <c r="H13" t="s">
        <v>45</v>
      </c>
      <c r="J13" t="s">
        <v>33</v>
      </c>
      <c r="L13" t="s">
        <v>81</v>
      </c>
    </row>
    <row r="14" spans="1:12" x14ac:dyDescent="0.2">
      <c r="A14" t="s">
        <v>32</v>
      </c>
      <c r="B14">
        <f>G14/D4</f>
        <v>0.13272545454545456</v>
      </c>
      <c r="E14" t="s">
        <v>32</v>
      </c>
      <c r="F14">
        <v>0.1</v>
      </c>
      <c r="G14">
        <f>0.1*F4</f>
        <v>7299.9000000000005</v>
      </c>
      <c r="H14">
        <f>G14/12</f>
        <v>608.32500000000005</v>
      </c>
      <c r="J14">
        <f>B7-G14</f>
        <v>6200.0999999999995</v>
      </c>
      <c r="L14" t="s">
        <v>78</v>
      </c>
    </row>
    <row r="15" spans="1:12" x14ac:dyDescent="0.2">
      <c r="A15" t="s">
        <v>62</v>
      </c>
      <c r="B15">
        <f>G16/D4</f>
        <v>0.22320836363636362</v>
      </c>
      <c r="E15" t="s">
        <v>59</v>
      </c>
      <c r="G15">
        <v>577.94000000000005</v>
      </c>
      <c r="H15">
        <f>G15/12</f>
        <v>48.161666666666669</v>
      </c>
      <c r="L15" t="s">
        <v>79</v>
      </c>
    </row>
    <row r="16" spans="1:12" x14ac:dyDescent="0.2">
      <c r="A16" t="s">
        <v>63</v>
      </c>
      <c r="B16">
        <f>G17/D4</f>
        <v>5.2727272727272727E-2</v>
      </c>
      <c r="C16">
        <f>SUM(B15:B16)</f>
        <v>0.27593563636363633</v>
      </c>
      <c r="E16" t="s">
        <v>27</v>
      </c>
      <c r="F16">
        <f>G16/B7</f>
        <v>0.90936740740740729</v>
      </c>
      <c r="G16">
        <v>12276.46</v>
      </c>
      <c r="H16">
        <f>G16/12</f>
        <v>1023.0383333333333</v>
      </c>
      <c r="L16" t="s">
        <v>80</v>
      </c>
    </row>
    <row r="17" spans="1:12" x14ac:dyDescent="0.2">
      <c r="A17" t="s">
        <v>64</v>
      </c>
      <c r="B17">
        <f>G18/D4</f>
        <v>-0.17371454545454545</v>
      </c>
      <c r="E17" t="s">
        <v>28</v>
      </c>
      <c r="F17">
        <f>G17/B7</f>
        <v>0.21481481481481482</v>
      </c>
      <c r="G17">
        <v>2900</v>
      </c>
      <c r="H17">
        <f>G17/12</f>
        <v>241.66666666666666</v>
      </c>
      <c r="L17" t="s">
        <v>95</v>
      </c>
    </row>
    <row r="18" spans="1:12" x14ac:dyDescent="0.2">
      <c r="A18" t="s">
        <v>65</v>
      </c>
      <c r="B18">
        <f>B3/D4</f>
        <v>0.50909090909090904</v>
      </c>
      <c r="E18" t="s">
        <v>35</v>
      </c>
      <c r="F18">
        <f>G18/B7</f>
        <v>-0.70772592592592587</v>
      </c>
      <c r="G18">
        <f>J14-SUM(G15:G17)</f>
        <v>-9554.2999999999993</v>
      </c>
      <c r="H18">
        <f>G18/12</f>
        <v>-796.19166666666661</v>
      </c>
    </row>
    <row r="19" spans="1:12" x14ac:dyDescent="0.2">
      <c r="A19" t="s">
        <v>66</v>
      </c>
      <c r="B19">
        <f>B6/D4</f>
        <v>0.25454545454545452</v>
      </c>
      <c r="F19">
        <f>SUM(F14:F18)</f>
        <v>0.51645629629629619</v>
      </c>
    </row>
    <row r="20" spans="1:12" x14ac:dyDescent="0.2">
      <c r="B20">
        <f>SUM(B14:B19)</f>
        <v>0.99858290909090897</v>
      </c>
    </row>
    <row r="21" spans="1:12" x14ac:dyDescent="0.2">
      <c r="E21" t="s">
        <v>39</v>
      </c>
      <c r="F21">
        <f>G16/12</f>
        <v>1023.0383333333333</v>
      </c>
    </row>
    <row r="22" spans="1:12" x14ac:dyDescent="0.2">
      <c r="A22" t="s">
        <v>38</v>
      </c>
      <c r="B22">
        <f>B6/12</f>
        <v>1166.6666666666667</v>
      </c>
      <c r="E22" t="s">
        <v>40</v>
      </c>
      <c r="F22">
        <f>G17/12</f>
        <v>241.66666666666666</v>
      </c>
    </row>
    <row r="23" spans="1:12" x14ac:dyDescent="0.2">
      <c r="A23" t="s">
        <v>44</v>
      </c>
      <c r="B23">
        <f>B7/12</f>
        <v>1125</v>
      </c>
    </row>
    <row r="25" spans="1:12" x14ac:dyDescent="0.2">
      <c r="J25" s="15" t="s">
        <v>72</v>
      </c>
      <c r="K25" s="15"/>
      <c r="L25" s="15"/>
    </row>
    <row r="26" spans="1:12" x14ac:dyDescent="0.2">
      <c r="C26" t="s">
        <v>67</v>
      </c>
      <c r="J26" s="15">
        <f>1363.62*B17</f>
        <v>-236.88062847272727</v>
      </c>
      <c r="K26" s="15"/>
      <c r="L26" s="15"/>
    </row>
    <row r="27" spans="1:12" x14ac:dyDescent="0.2">
      <c r="A27" t="s">
        <v>71</v>
      </c>
      <c r="B27" t="s">
        <v>70</v>
      </c>
      <c r="C27" t="s">
        <v>68</v>
      </c>
      <c r="J27" s="15"/>
      <c r="K27" s="15"/>
      <c r="L27" s="15"/>
    </row>
    <row r="28" spans="1:12" x14ac:dyDescent="0.2">
      <c r="A28" s="14">
        <v>1363.72</v>
      </c>
      <c r="B28">
        <v>1000</v>
      </c>
      <c r="C28">
        <f>A28-B28</f>
        <v>363.72</v>
      </c>
      <c r="J28" s="15"/>
      <c r="K28" s="15"/>
      <c r="L28" s="15"/>
    </row>
    <row r="29" spans="1:12" x14ac:dyDescent="0.2">
      <c r="J29" s="15" t="s">
        <v>73</v>
      </c>
      <c r="K29" s="15">
        <v>213.72</v>
      </c>
      <c r="L29" s="15"/>
    </row>
    <row r="30" spans="1:12" x14ac:dyDescent="0.2">
      <c r="C30" t="s">
        <v>66</v>
      </c>
      <c r="D30">
        <f>C28*B19</f>
        <v>92.583272727272728</v>
      </c>
      <c r="J30" s="15" t="s">
        <v>73</v>
      </c>
      <c r="K30" s="15">
        <v>77.03</v>
      </c>
      <c r="L30" s="15"/>
    </row>
    <row r="31" spans="1:12" x14ac:dyDescent="0.2">
      <c r="C31" t="s">
        <v>23</v>
      </c>
      <c r="D31">
        <f>(C28)*(B16+B15)</f>
        <v>100.36330965818182</v>
      </c>
      <c r="F31" t="s">
        <v>69</v>
      </c>
      <c r="G31">
        <f>C28*B15</f>
        <v>81.185346021818177</v>
      </c>
      <c r="J31" s="15" t="s">
        <v>74</v>
      </c>
      <c r="K31" s="15">
        <f>SUM(K29:K30)</f>
        <v>290.75</v>
      </c>
      <c r="L31" s="15"/>
    </row>
    <row r="32" spans="1:12" x14ac:dyDescent="0.2">
      <c r="F32" t="s">
        <v>63</v>
      </c>
      <c r="G32">
        <f>B16*C28</f>
        <v>19.177963636363639</v>
      </c>
      <c r="J32" s="15"/>
      <c r="K32" s="15"/>
      <c r="L32" s="15"/>
    </row>
    <row r="33" spans="10:12" x14ac:dyDescent="0.2">
      <c r="J33" s="15" t="s">
        <v>75</v>
      </c>
      <c r="K33" s="15">
        <v>577.94000000000005</v>
      </c>
      <c r="L33" s="15" t="s">
        <v>77</v>
      </c>
    </row>
    <row r="34" spans="10:12" x14ac:dyDescent="0.2">
      <c r="J34" s="15" t="s">
        <v>76</v>
      </c>
      <c r="K34" s="15">
        <f>K33-K31</f>
        <v>287.19000000000005</v>
      </c>
      <c r="L34" s="15"/>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5CEDE-86EB-504B-9B3D-5CDE9FD9356D}">
  <dimension ref="A1:F1"/>
  <sheetViews>
    <sheetView workbookViewId="0">
      <selection activeCell="U75" sqref="U75"/>
    </sheetView>
  </sheetViews>
  <sheetFormatPr baseColWidth="10" defaultRowHeight="16" x14ac:dyDescent="0.2"/>
  <cols>
    <col min="1" max="1" width="15.6640625" bestFit="1" customWidth="1"/>
    <col min="2" max="2" width="10.5" bestFit="1" customWidth="1"/>
    <col min="3" max="3" width="19.5" bestFit="1" customWidth="1"/>
    <col min="4" max="5" width="12.5" bestFit="1" customWidth="1"/>
  </cols>
  <sheetData>
    <row r="1" spans="1:6" x14ac:dyDescent="0.2">
      <c r="A1" t="s">
        <v>124</v>
      </c>
      <c r="B1" t="s">
        <v>118</v>
      </c>
      <c r="C1" t="s">
        <v>125</v>
      </c>
      <c r="D1" t="s">
        <v>165</v>
      </c>
      <c r="E1" t="s">
        <v>119</v>
      </c>
      <c r="F1" t="s">
        <v>167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2ADE8-8D88-0C40-8EFF-7C55A239DF78}">
  <dimension ref="A2:L26"/>
  <sheetViews>
    <sheetView workbookViewId="0">
      <selection activeCell="B28" sqref="B28"/>
    </sheetView>
  </sheetViews>
  <sheetFormatPr baseColWidth="10" defaultRowHeight="16" x14ac:dyDescent="0.2"/>
  <sheetData>
    <row r="2" spans="1:12" x14ac:dyDescent="0.2">
      <c r="A2">
        <v>54744.22</v>
      </c>
      <c r="B2" t="s">
        <v>187</v>
      </c>
    </row>
    <row r="3" spans="1:12" x14ac:dyDescent="0.2">
      <c r="A3">
        <f>A2*(1+E3/100*E5)</f>
        <v>89373.292748692678</v>
      </c>
      <c r="B3" t="s">
        <v>188</v>
      </c>
      <c r="E3">
        <v>8.99</v>
      </c>
      <c r="F3" t="s">
        <v>185</v>
      </c>
    </row>
    <row r="4" spans="1:12" x14ac:dyDescent="0.2">
      <c r="E4">
        <v>1</v>
      </c>
      <c r="F4" t="s">
        <v>186</v>
      </c>
    </row>
    <row r="5" spans="1:12" x14ac:dyDescent="0.2">
      <c r="A5">
        <v>441.88</v>
      </c>
      <c r="B5" t="s">
        <v>194</v>
      </c>
      <c r="E5">
        <f>(E8-E7)/365.25</f>
        <v>7.0362765229295006</v>
      </c>
      <c r="F5" t="s">
        <v>190</v>
      </c>
    </row>
    <row r="6" spans="1:12" x14ac:dyDescent="0.2">
      <c r="A6">
        <f>A5*2</f>
        <v>883.76</v>
      </c>
      <c r="B6" t="s">
        <v>182</v>
      </c>
    </row>
    <row r="7" spans="1:12" x14ac:dyDescent="0.2">
      <c r="A7">
        <f>A6/30.5</f>
        <v>28.975737704918032</v>
      </c>
      <c r="B7" t="s">
        <v>184</v>
      </c>
      <c r="E7" s="13">
        <v>45703</v>
      </c>
      <c r="F7" t="s">
        <v>193</v>
      </c>
    </row>
    <row r="8" spans="1:12" x14ac:dyDescent="0.2">
      <c r="E8" s="13">
        <v>48273</v>
      </c>
      <c r="F8" t="s">
        <v>192</v>
      </c>
    </row>
    <row r="9" spans="1:12" x14ac:dyDescent="0.2">
      <c r="A9">
        <f>A3/E5/12/2</f>
        <v>529.24116693352789</v>
      </c>
      <c r="B9" t="s">
        <v>195</v>
      </c>
      <c r="K9" s="13"/>
      <c r="L9" s="13"/>
    </row>
    <row r="10" spans="1:12" x14ac:dyDescent="0.2">
      <c r="A10">
        <f>A9*2</f>
        <v>1058.4823338670558</v>
      </c>
      <c r="B10" t="s">
        <v>196</v>
      </c>
      <c r="E10">
        <f>E5/12</f>
        <v>0.58635637691079168</v>
      </c>
      <c r="F10" t="s">
        <v>189</v>
      </c>
    </row>
    <row r="11" spans="1:12" x14ac:dyDescent="0.2">
      <c r="A11">
        <f>A10/30.5</f>
        <v>34.704338815313307</v>
      </c>
      <c r="B11" t="s">
        <v>197</v>
      </c>
    </row>
    <row r="12" spans="1:12" x14ac:dyDescent="0.2">
      <c r="C12" t="s">
        <v>101</v>
      </c>
      <c r="E12">
        <f>A3-A2</f>
        <v>34629.072748692677</v>
      </c>
      <c r="F12" t="s">
        <v>191</v>
      </c>
      <c r="G12" s="13"/>
      <c r="H12" s="13"/>
    </row>
    <row r="13" spans="1:12" x14ac:dyDescent="0.2">
      <c r="A13">
        <f>A3/A11</f>
        <v>2575.2772073921969</v>
      </c>
      <c r="B13" t="s">
        <v>100</v>
      </c>
      <c r="C13" t="s">
        <v>102</v>
      </c>
    </row>
    <row r="14" spans="1:12" x14ac:dyDescent="0.2">
      <c r="A14">
        <f>A3/A10</f>
        <v>84.435318275154003</v>
      </c>
      <c r="B14" t="s">
        <v>181</v>
      </c>
    </row>
    <row r="15" spans="1:12" x14ac:dyDescent="0.2">
      <c r="A15">
        <f>A14/12</f>
        <v>7.0362765229295006</v>
      </c>
      <c r="B15" t="s">
        <v>183</v>
      </c>
    </row>
    <row r="17" spans="2:3" x14ac:dyDescent="0.2">
      <c r="B17" s="13">
        <v>45703</v>
      </c>
      <c r="C17" t="s">
        <v>198</v>
      </c>
    </row>
    <row r="18" spans="2:3" x14ac:dyDescent="0.2">
      <c r="B18" s="13">
        <v>48273</v>
      </c>
      <c r="C18" t="s">
        <v>199</v>
      </c>
    </row>
    <row r="20" spans="2:3" x14ac:dyDescent="0.2">
      <c r="B20" s="13">
        <v>45703</v>
      </c>
      <c r="C20" t="s">
        <v>200</v>
      </c>
    </row>
    <row r="21" spans="2:3" x14ac:dyDescent="0.2">
      <c r="B21" s="13">
        <f>B20+A3/A6*30.5</f>
        <v>48787.418200456152</v>
      </c>
      <c r="C21" t="s">
        <v>201</v>
      </c>
    </row>
    <row r="23" spans="2:3" x14ac:dyDescent="0.2">
      <c r="B23">
        <f>B21-B18</f>
        <v>514.41820045615168</v>
      </c>
      <c r="C23" t="s">
        <v>202</v>
      </c>
    </row>
    <row r="24" spans="2:3" x14ac:dyDescent="0.2">
      <c r="B24">
        <f>B23/365.25</f>
        <v>1.4084002750339539</v>
      </c>
      <c r="C24" t="s">
        <v>203</v>
      </c>
    </row>
    <row r="26" spans="2:3" x14ac:dyDescent="0.2">
      <c r="B26">
        <f>A3-A2</f>
        <v>34629.072748692677</v>
      </c>
      <c r="C26" t="s">
        <v>204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E5CB9-096B-914B-811E-CD1C5255573C}">
  <dimension ref="A1:E22"/>
  <sheetViews>
    <sheetView workbookViewId="0">
      <selection activeCell="B26" sqref="B26"/>
    </sheetView>
  </sheetViews>
  <sheetFormatPr baseColWidth="10" defaultRowHeight="16" x14ac:dyDescent="0.2"/>
  <cols>
    <col min="1" max="1" width="11.83203125" bestFit="1" customWidth="1"/>
  </cols>
  <sheetData>
    <row r="1" spans="1:5" x14ac:dyDescent="0.2">
      <c r="A1" t="s">
        <v>48</v>
      </c>
      <c r="B1" s="25">
        <v>45717</v>
      </c>
      <c r="C1" s="25">
        <v>45748</v>
      </c>
    </row>
    <row r="2" spans="1:5" x14ac:dyDescent="0.2">
      <c r="A2" t="s">
        <v>180</v>
      </c>
      <c r="B2">
        <v>2346.75</v>
      </c>
      <c r="C2">
        <v>2346.75</v>
      </c>
    </row>
    <row r="3" spans="1:5" x14ac:dyDescent="0.2">
      <c r="A3" t="s">
        <v>180</v>
      </c>
      <c r="B3">
        <v>2346.75</v>
      </c>
      <c r="C3">
        <v>2346.75</v>
      </c>
    </row>
    <row r="4" spans="1:5" x14ac:dyDescent="0.2">
      <c r="A4" t="s">
        <v>49</v>
      </c>
      <c r="B4">
        <f>SUM(B2:B3)</f>
        <v>4693.5</v>
      </c>
      <c r="C4">
        <f>SUM(C2:C3)</f>
        <v>4693.5</v>
      </c>
    </row>
    <row r="6" spans="1:5" x14ac:dyDescent="0.2">
      <c r="A6" t="s">
        <v>99</v>
      </c>
    </row>
    <row r="7" spans="1:5" x14ac:dyDescent="0.2">
      <c r="A7" t="s">
        <v>83</v>
      </c>
      <c r="B7">
        <f>FlatNeeds10MoSavings!B19</f>
        <v>0.25454545454545452</v>
      </c>
    </row>
    <row r="9" spans="1:5" x14ac:dyDescent="0.2">
      <c r="A9" t="s">
        <v>88</v>
      </c>
    </row>
    <row r="10" spans="1:5" x14ac:dyDescent="0.2">
      <c r="A10" t="s">
        <v>83</v>
      </c>
      <c r="B10">
        <f>-FlatNeeds10MoSavings!$B$19*SuggestedDeductionsNTransfers!B4</f>
        <v>-1194.7090909090907</v>
      </c>
      <c r="C10">
        <f>-FlatNeeds10MoSavings!$B$19*SuggestedDeductionsNTransfers!C4</f>
        <v>-1194.7090909090907</v>
      </c>
      <c r="E10">
        <v>-890.68626804159533</v>
      </c>
    </row>
    <row r="11" spans="1:5" x14ac:dyDescent="0.2">
      <c r="A11" t="s">
        <v>5</v>
      </c>
      <c r="B11">
        <f>-FlatNeeds10MoSavings!$B$18*SuggestedDeductionsNTransfers!B4</f>
        <v>-2389.4181818181814</v>
      </c>
      <c r="C11">
        <f>-FlatNeeds10MoSavings!$B$18*SuggestedDeductionsNTransfers!C4</f>
        <v>-2389.4181818181814</v>
      </c>
      <c r="E11">
        <v>-971.65774695446748</v>
      </c>
    </row>
    <row r="12" spans="1:5" x14ac:dyDescent="0.2">
      <c r="A12" t="s">
        <v>85</v>
      </c>
      <c r="B12">
        <f>-(B4+B10+B11)</f>
        <v>-1109.3727272727278</v>
      </c>
      <c r="C12" t="e">
        <f>-(C4+#REF!+C10+C11)</f>
        <v>#REF!</v>
      </c>
      <c r="E12">
        <v>-1214.2424409946896</v>
      </c>
    </row>
    <row r="14" spans="1:5" x14ac:dyDescent="0.2">
      <c r="A14" t="s">
        <v>89</v>
      </c>
      <c r="B14" t="s">
        <v>94</v>
      </c>
    </row>
    <row r="15" spans="1:5" x14ac:dyDescent="0.2">
      <c r="A15" t="s">
        <v>83</v>
      </c>
      <c r="B15">
        <f>CashFlow!$N$179</f>
        <v>0</v>
      </c>
      <c r="C15">
        <f>CashFlow!$N$179</f>
        <v>0</v>
      </c>
      <c r="E15">
        <v>-956.06999999999994</v>
      </c>
    </row>
    <row r="16" spans="1:5" x14ac:dyDescent="0.2">
      <c r="A16" t="s">
        <v>5</v>
      </c>
      <c r="B16" t="e">
        <f>MandatoryCalcs!$U$48</f>
        <v>#REF!</v>
      </c>
      <c r="C16" t="e">
        <f>MandatoryCalcs!$U$48</f>
        <v>#REF!</v>
      </c>
      <c r="E16">
        <v>-1607.51</v>
      </c>
    </row>
    <row r="17" spans="1:5" x14ac:dyDescent="0.2">
      <c r="A17" t="s">
        <v>84</v>
      </c>
      <c r="B17">
        <f>CashFlow!$L$179</f>
        <v>0</v>
      </c>
      <c r="C17">
        <f>CashFlow!$L$179</f>
        <v>0</v>
      </c>
      <c r="E17">
        <v>-568.02</v>
      </c>
    </row>
    <row r="18" spans="1:5" x14ac:dyDescent="0.2">
      <c r="A18" t="s">
        <v>92</v>
      </c>
      <c r="B18">
        <f>B17</f>
        <v>0</v>
      </c>
      <c r="C18">
        <f>C17</f>
        <v>0</v>
      </c>
      <c r="E18">
        <v>-568.02</v>
      </c>
    </row>
    <row r="20" spans="1:5" x14ac:dyDescent="0.2">
      <c r="A20" t="s">
        <v>93</v>
      </c>
    </row>
    <row r="21" spans="1:5" x14ac:dyDescent="0.2">
      <c r="A21" s="16" t="s">
        <v>83</v>
      </c>
      <c r="B21">
        <f>B10-B15</f>
        <v>-1194.7090909090907</v>
      </c>
      <c r="C21">
        <f>C10-C15</f>
        <v>-1194.7090909090907</v>
      </c>
      <c r="E21">
        <v>65.38373195840461</v>
      </c>
    </row>
    <row r="22" spans="1:5" x14ac:dyDescent="0.2">
      <c r="A22" s="16" t="s">
        <v>85</v>
      </c>
      <c r="B22">
        <f>B12-B18</f>
        <v>-1109.3727272727278</v>
      </c>
      <c r="C22" t="e">
        <f>C12-C18</f>
        <v>#REF!</v>
      </c>
      <c r="E22">
        <v>-646.22244099468958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0B4FC-DDD3-C448-B96C-95E18C1AF05C}">
  <dimension ref="A1:L7"/>
  <sheetViews>
    <sheetView workbookViewId="0">
      <selection activeCell="H14" sqref="H14"/>
    </sheetView>
  </sheetViews>
  <sheetFormatPr baseColWidth="10" defaultRowHeight="16" x14ac:dyDescent="0.2"/>
  <cols>
    <col min="1" max="1" width="16.33203125" style="26" bestFit="1" customWidth="1"/>
    <col min="10" max="10" width="11.83203125" bestFit="1" customWidth="1"/>
    <col min="11" max="11" width="14.1640625" bestFit="1" customWidth="1"/>
  </cols>
  <sheetData>
    <row r="1" spans="1:12" x14ac:dyDescent="0.2">
      <c r="A1" s="26" t="str">
        <f>[1]TruckNumbers!A1</f>
        <v>Date and time</v>
      </c>
      <c r="B1" t="str">
        <f>[1]TruckNumbers!B1</f>
        <v>Driving mode</v>
      </c>
      <c r="C1" t="str">
        <f>[1]TruckNumbers!C1</f>
        <v>trip location(s) (Include idle time)</v>
      </c>
      <c r="D1" t="str">
        <f>[1]TruckNumbers!E1</f>
        <v>Recorded MPG</v>
      </c>
      <c r="E1" t="str">
        <f>[1]TruckNumbers!D1</f>
        <v>Reason</v>
      </c>
      <c r="F1" t="str">
        <f>[1]TruckNumbers!G1</f>
        <v>Trip Miles</v>
      </c>
      <c r="G1" t="str">
        <f>[1]TruckNumbers!H1</f>
        <v>Tank reading</v>
      </c>
      <c r="H1" t="s">
        <v>278</v>
      </c>
      <c r="I1" t="s">
        <v>279</v>
      </c>
      <c r="J1" t="s">
        <v>281</v>
      </c>
      <c r="K1" t="s">
        <v>280</v>
      </c>
      <c r="L1" t="str">
        <f>[1]TruckNumbers!L1</f>
        <v xml:space="preserve">Starting mileage </v>
      </c>
    </row>
    <row r="2" spans="1:12" ht="15" x14ac:dyDescent="0.2">
      <c r="A2" s="13">
        <v>45791</v>
      </c>
      <c r="C2" s="4"/>
      <c r="D2" s="27"/>
      <c r="E2" s="28"/>
      <c r="G2" s="4"/>
      <c r="H2" s="4"/>
      <c r="J2">
        <v>106.51</v>
      </c>
    </row>
    <row r="3" spans="1:12" x14ac:dyDescent="0.2">
      <c r="A3" s="26" t="str">
        <f>[1]TruckNumbers!A3</f>
        <v>After each trip, record information in this sheet.  You may be late for an appointment if you record at the beginning.  There's less pressure when you get home.</v>
      </c>
      <c r="B3">
        <f>[1]TruckNumbers!B3</f>
        <v>0</v>
      </c>
      <c r="C3">
        <f>[1]TruckNumbers!C3</f>
        <v>0</v>
      </c>
      <c r="D3">
        <f>[1]TruckNumbers!E3</f>
        <v>0</v>
      </c>
      <c r="E3">
        <f>[1]TruckNumbers!D3</f>
        <v>0</v>
      </c>
      <c r="F3">
        <f>[1]TruckNumbers!G3</f>
        <v>0</v>
      </c>
      <c r="G3">
        <f>[1]TruckNumbers!H3</f>
        <v>0</v>
      </c>
      <c r="L3">
        <f>[1]TruckNumbers!F3</f>
        <v>0</v>
      </c>
    </row>
    <row r="4" spans="1:12" x14ac:dyDescent="0.2">
      <c r="A4" s="26" t="str">
        <f>[1]TruckNumbers!A4</f>
        <v>After each gas fill-up reset Trip B.  Trip B should be used for Gas tank measurements all together to double check other numbers.  Use Trip B for Entire Gas tank (Measure at gas pump)</v>
      </c>
      <c r="B4">
        <f>[1]TruckNumbers!B4</f>
        <v>0</v>
      </c>
      <c r="C4">
        <f>[1]TruckNumbers!C4</f>
        <v>0</v>
      </c>
      <c r="D4">
        <f>[1]TruckNumbers!E4</f>
        <v>0</v>
      </c>
      <c r="E4">
        <f>[1]TruckNumbers!D4</f>
        <v>0</v>
      </c>
      <c r="F4">
        <f>[1]TruckNumbers!G4</f>
        <v>0</v>
      </c>
      <c r="G4">
        <f>[1]TruckNumbers!H4</f>
        <v>0</v>
      </c>
      <c r="L4">
        <f>[1]TruckNumbers!F4</f>
        <v>0</v>
      </c>
    </row>
    <row r="5" spans="1:12" x14ac:dyDescent="0.2">
      <c r="A5" s="26" t="str">
        <f>[1]TruckNumbers!A5</f>
        <v>Use Trip A for individual trips between fill-ups.</v>
      </c>
      <c r="B5">
        <f>[1]TruckNumbers!B5</f>
        <v>0</v>
      </c>
      <c r="C5">
        <f>[1]TruckNumbers!C5</f>
        <v>0</v>
      </c>
      <c r="D5">
        <f>[1]TruckNumbers!E5</f>
        <v>0</v>
      </c>
      <c r="E5">
        <f>[1]TruckNumbers!D5</f>
        <v>0</v>
      </c>
      <c r="F5">
        <f>[1]TruckNumbers!G5</f>
        <v>0</v>
      </c>
      <c r="G5">
        <f>[1]TruckNumbers!H5</f>
        <v>0</v>
      </c>
      <c r="L5">
        <f>[1]TruckNumbers!F5</f>
        <v>0</v>
      </c>
    </row>
    <row r="6" spans="1:12" x14ac:dyDescent="0.2">
      <c r="A6" s="26">
        <f>[1]TruckNumbers!A9</f>
        <v>45791</v>
      </c>
      <c r="B6">
        <f>[1]TruckNumbers!B9</f>
        <v>0</v>
      </c>
      <c r="C6">
        <f>[1]TruckNumbers!C9</f>
        <v>0</v>
      </c>
      <c r="D6">
        <f>[1]TruckNumbers!E9</f>
        <v>0</v>
      </c>
      <c r="E6">
        <f>[1]TruckNumbers!D9</f>
        <v>0</v>
      </c>
      <c r="F6" t="e">
        <f>[1]TruckNumbers!G9</f>
        <v>#VALUE!</v>
      </c>
      <c r="G6">
        <f>[1]TruckNumbers!H9</f>
        <v>0</v>
      </c>
      <c r="L6">
        <f>[1]TruckNumbers!F9</f>
        <v>0</v>
      </c>
    </row>
    <row r="7" spans="1:12" x14ac:dyDescent="0.2">
      <c r="A7" s="26">
        <f>[1]TruckNumbers!A10</f>
        <v>45796</v>
      </c>
      <c r="B7">
        <f>[1]TruckNumbers!B10</f>
        <v>0</v>
      </c>
      <c r="C7">
        <f>[1]TruckNumbers!C10</f>
        <v>0</v>
      </c>
      <c r="D7">
        <f>[1]TruckNumbers!E10</f>
        <v>16.899999999999999</v>
      </c>
      <c r="E7">
        <f>[1]TruckNumbers!D10</f>
        <v>0</v>
      </c>
      <c r="F7">
        <f>[1]TruckNumbers!G10</f>
        <v>11578.6</v>
      </c>
      <c r="G7">
        <f>[1]TruckNumbers!H10</f>
        <v>0</v>
      </c>
      <c r="L7">
        <f>[1]TruckNumbers!F10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D8C2DB-5DA7-E141-BB5A-1F4109C658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4</vt:i4>
      </vt:variant>
    </vt:vector>
  </HeadingPairs>
  <TitlesOfParts>
    <vt:vector size="21" baseType="lpstr">
      <vt:lpstr>output (2)</vt:lpstr>
      <vt:lpstr>CashFlow</vt:lpstr>
      <vt:lpstr>DollarsPerMonth</vt:lpstr>
      <vt:lpstr>monthlyStatus</vt:lpstr>
      <vt:lpstr>Sheet1</vt:lpstr>
      <vt:lpstr>Monthly Status Comparison</vt:lpstr>
      <vt:lpstr>DollarsPerDayExpenditures (2)</vt:lpstr>
      <vt:lpstr>DollarsPerDayExpenditures</vt:lpstr>
      <vt:lpstr>Budget all Txns</vt:lpstr>
      <vt:lpstr>BudgetPieChart</vt:lpstr>
      <vt:lpstr>Gas Mileage Accountability</vt:lpstr>
      <vt:lpstr>MandatoryCalcs</vt:lpstr>
      <vt:lpstr>FlatNeeds10MoSavings</vt:lpstr>
      <vt:lpstr>SuggestedSavings</vt:lpstr>
      <vt:lpstr>DebtProjections</vt:lpstr>
      <vt:lpstr>SuggestedDeductionsNTransfers</vt:lpstr>
      <vt:lpstr>AutoMileage</vt:lpstr>
      <vt:lpstr>DollarsPerDayExpenditures!DollarsPerDayExpenditures</vt:lpstr>
      <vt:lpstr>MandatoryCalcs!mandatory_2</vt:lpstr>
      <vt:lpstr>MandatoryCalcs!output</vt:lpstr>
      <vt:lpstr>CashFlow!output_4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Byrne</dc:creator>
  <cp:lastModifiedBy>John Byrne</cp:lastModifiedBy>
  <dcterms:created xsi:type="dcterms:W3CDTF">2022-04-09T21:03:52Z</dcterms:created>
  <dcterms:modified xsi:type="dcterms:W3CDTF">2025-06-15T21:35:10Z</dcterms:modified>
</cp:coreProperties>
</file>