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C4FF4084-65EC-8942-9F66-2FC5E5568893}" xr6:coauthVersionLast="47" xr6:coauthVersionMax="47" xr10:uidLastSave="{00000000-0000-0000-0000-000000000000}"/>
  <bookViews>
    <workbookView xWindow="39800" yWindow="1640" windowWidth="67820" windowHeight="28940" activeTab="3"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Txns'!$A$1:$G$33</definedName>
    <definedName name="ExternalData_1" localSheetId="9" hidden="1">BudgetPieChart!$A$1:$B$23</definedName>
    <definedName name="ExternalData_1" localSheetId="6" hidden="1">'DollarsPerDayExpenditures (2)'!$A$1:$B$29</definedName>
    <definedName name="ExternalData_1" localSheetId="2" hidden="1">DollarsPerMonth!$A$1:$B$29</definedName>
    <definedName name="ExternalData_1" localSheetId="3" hidden="1">monthlyStatus!$A$1:$D$31</definedName>
    <definedName name="ExternalData_1" localSheetId="0" hidden="1">'output (2)'!$A$1:$G$91</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W4" i="1" l="1"/>
  <c r="W5" i="1"/>
  <c r="W6" i="1"/>
  <c r="W7" i="1"/>
  <c r="W8" i="1"/>
  <c r="W9" i="1"/>
  <c r="W10" i="1"/>
  <c r="W11" i="1"/>
  <c r="W12" i="1"/>
  <c r="W13" i="1"/>
  <c r="W14" i="1"/>
  <c r="W15" i="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W3" i="1"/>
  <c r="W2" i="1"/>
  <c r="T3"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AE4" i="1" s="1"/>
  <c r="J9" i="27"/>
  <c r="H31" i="27"/>
  <c r="B16" i="31"/>
  <c r="E2" i="27"/>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C20" i="16"/>
  <c r="C21" i="16"/>
  <c r="C22" i="16"/>
  <c r="C23" i="16"/>
  <c r="C24" i="16"/>
  <c r="K19" i="29"/>
  <c r="W19" i="29"/>
  <c r="H29" i="27"/>
  <c r="J40" i="27"/>
  <c r="G8" i="28"/>
  <c r="G20" i="28"/>
  <c r="G12" i="28"/>
  <c r="G13" i="28"/>
  <c r="J7" i="27"/>
  <c r="J19" i="27" s="1"/>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O14" i="29"/>
  <c r="P14" i="29"/>
  <c r="R14" i="29"/>
  <c r="S14" i="29"/>
  <c r="T14" i="29"/>
  <c r="U14" i="29"/>
  <c r="V14" i="29"/>
  <c r="W14" i="29"/>
  <c r="X14" i="29"/>
  <c r="A15" i="29"/>
  <c r="B15" i="29"/>
  <c r="C15" i="29"/>
  <c r="D15" i="29"/>
  <c r="E15" i="29"/>
  <c r="F15" i="29"/>
  <c r="H15" i="29"/>
  <c r="N15" i="29"/>
  <c r="O15" i="29"/>
  <c r="P15" i="29"/>
  <c r="R15" i="29"/>
  <c r="S15" i="29"/>
  <c r="T15" i="29"/>
  <c r="U15" i="29"/>
  <c r="V15" i="29"/>
  <c r="W15" i="29"/>
  <c r="X15" i="29"/>
  <c r="A16" i="29"/>
  <c r="B16" i="29"/>
  <c r="C16" i="29"/>
  <c r="D16" i="29"/>
  <c r="E16" i="29"/>
  <c r="F16" i="29"/>
  <c r="H16" i="29"/>
  <c r="N16" i="29"/>
  <c r="O16" i="29"/>
  <c r="P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P18" i="29"/>
  <c r="Q18" i="29"/>
  <c r="R18" i="29"/>
  <c r="S18" i="29"/>
  <c r="T18" i="29"/>
  <c r="U18" i="29"/>
  <c r="V18" i="29"/>
  <c r="X18" i="29"/>
  <c r="A19" i="29"/>
  <c r="B19" i="29"/>
  <c r="C19" i="29"/>
  <c r="D19" i="29"/>
  <c r="E19" i="29"/>
  <c r="F19" i="29"/>
  <c r="G19" i="29"/>
  <c r="H19" i="29"/>
  <c r="I19" i="29"/>
  <c r="J19" i="29"/>
  <c r="N19" i="29"/>
  <c r="O19" i="29"/>
  <c r="P19" i="29"/>
  <c r="Q19" i="29"/>
  <c r="R19" i="29"/>
  <c r="S19" i="29"/>
  <c r="T19" i="29"/>
  <c r="U19" i="29"/>
  <c r="V19" i="29"/>
  <c r="X19" i="29"/>
  <c r="A20" i="29"/>
  <c r="B20" i="29"/>
  <c r="C20" i="29"/>
  <c r="D20" i="29"/>
  <c r="E20" i="29"/>
  <c r="F20" i="29"/>
  <c r="G20" i="29"/>
  <c r="H20" i="29"/>
  <c r="I20" i="29"/>
  <c r="J20" i="29"/>
  <c r="K20" i="29"/>
  <c r="L20" i="29"/>
  <c r="M20" i="29"/>
  <c r="N20" i="29"/>
  <c r="O20" i="29"/>
  <c r="P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O22" i="29"/>
  <c r="P22" i="29"/>
  <c r="Q22" i="29"/>
  <c r="R22" i="29"/>
  <c r="S22" i="29"/>
  <c r="T22" i="29"/>
  <c r="U22" i="29"/>
  <c r="V22" i="29"/>
  <c r="W22" i="29"/>
  <c r="X22" i="29"/>
  <c r="A23" i="29"/>
  <c r="B23" i="29"/>
  <c r="C23" i="29"/>
  <c r="D23" i="29"/>
  <c r="E23" i="29"/>
  <c r="F23" i="29"/>
  <c r="G23" i="29"/>
  <c r="H23" i="29"/>
  <c r="I23" i="29"/>
  <c r="J23" i="29"/>
  <c r="K23" i="29"/>
  <c r="L23" i="29"/>
  <c r="M23" i="29"/>
  <c r="N23" i="29"/>
  <c r="O23" i="29"/>
  <c r="P23" i="29"/>
  <c r="Q23" i="29"/>
  <c r="R23" i="29"/>
  <c r="S23" i="29"/>
  <c r="T23" i="29"/>
  <c r="U23" i="29"/>
  <c r="V23" i="29"/>
  <c r="W23" i="29"/>
  <c r="X23" i="29"/>
  <c r="A24" i="29"/>
  <c r="B24" i="29"/>
  <c r="C24" i="29"/>
  <c r="D24" i="29"/>
  <c r="E24" i="29"/>
  <c r="F24" i="29"/>
  <c r="G24" i="29"/>
  <c r="H24" i="29"/>
  <c r="I24" i="29"/>
  <c r="J24" i="29"/>
  <c r="K24" i="29"/>
  <c r="L24" i="29"/>
  <c r="M24" i="29"/>
  <c r="N24" i="29"/>
  <c r="O24" i="29"/>
  <c r="P24" i="29"/>
  <c r="Q24" i="29"/>
  <c r="R24" i="29"/>
  <c r="S24" i="29"/>
  <c r="T24" i="29"/>
  <c r="U24" i="29"/>
  <c r="V24" i="29"/>
  <c r="W24" i="29"/>
  <c r="X24" i="29"/>
  <c r="A25" i="29"/>
  <c r="B25" i="29"/>
  <c r="C25" i="29"/>
  <c r="D25" i="29"/>
  <c r="E25" i="29"/>
  <c r="F25" i="29"/>
  <c r="G25" i="29"/>
  <c r="H25" i="29"/>
  <c r="I25" i="29"/>
  <c r="J25" i="29"/>
  <c r="K25" i="29"/>
  <c r="L25" i="29"/>
  <c r="M25" i="29"/>
  <c r="N25" i="29"/>
  <c r="O25" i="29"/>
  <c r="P25" i="29"/>
  <c r="Q25" i="29"/>
  <c r="R25" i="29"/>
  <c r="S25" i="29"/>
  <c r="T25" i="29"/>
  <c r="U25" i="29"/>
  <c r="V25" i="29"/>
  <c r="W25" i="29"/>
  <c r="X25" i="29"/>
  <c r="A26" i="29"/>
  <c r="B26" i="29"/>
  <c r="C26" i="29"/>
  <c r="D26" i="29"/>
  <c r="E26" i="29"/>
  <c r="F26" i="29"/>
  <c r="G26" i="29"/>
  <c r="H26" i="29"/>
  <c r="I26" i="29"/>
  <c r="J26" i="29"/>
  <c r="K26" i="29"/>
  <c r="L26" i="29"/>
  <c r="M26" i="29"/>
  <c r="N26" i="29"/>
  <c r="O26" i="29"/>
  <c r="P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P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O31" i="29"/>
  <c r="P31" i="29"/>
  <c r="Q31" i="29"/>
  <c r="R31" i="29"/>
  <c r="S31" i="29"/>
  <c r="T31" i="29"/>
  <c r="U31" i="29"/>
  <c r="V31" i="29"/>
  <c r="W31" i="29"/>
  <c r="X31" i="29"/>
  <c r="A32" i="29"/>
  <c r="B32" i="29"/>
  <c r="C32" i="29"/>
  <c r="D32" i="29"/>
  <c r="E32" i="29"/>
  <c r="F32" i="29"/>
  <c r="G32" i="29"/>
  <c r="H32" i="29"/>
  <c r="I32" i="29"/>
  <c r="J32" i="29"/>
  <c r="K32" i="29"/>
  <c r="L32" i="29"/>
  <c r="M32" i="29"/>
  <c r="N32" i="29"/>
  <c r="O32" i="29"/>
  <c r="P32" i="29"/>
  <c r="Q32" i="29"/>
  <c r="R32" i="29"/>
  <c r="S32" i="29"/>
  <c r="T32" i="29"/>
  <c r="U32" i="29"/>
  <c r="V32" i="29"/>
  <c r="W32" i="29"/>
  <c r="X32" i="29"/>
  <c r="A33" i="29"/>
  <c r="B33" i="29"/>
  <c r="C33" i="29"/>
  <c r="D33" i="29"/>
  <c r="E33" i="29"/>
  <c r="F33" i="29"/>
  <c r="G33" i="29"/>
  <c r="H33" i="29"/>
  <c r="I33" i="29"/>
  <c r="J33" i="29"/>
  <c r="K33" i="29"/>
  <c r="L33" i="29"/>
  <c r="M33" i="29"/>
  <c r="N33" i="29"/>
  <c r="O33" i="29"/>
  <c r="P33" i="29"/>
  <c r="Q33" i="29"/>
  <c r="R33" i="29"/>
  <c r="S33" i="29"/>
  <c r="T33" i="29"/>
  <c r="U33" i="29"/>
  <c r="V33" i="29"/>
  <c r="W33" i="29"/>
  <c r="X33" i="29"/>
  <c r="A34" i="29"/>
  <c r="B34" i="29"/>
  <c r="C34" i="29"/>
  <c r="D34" i="29"/>
  <c r="E34" i="29"/>
  <c r="F34" i="29"/>
  <c r="G34" i="29"/>
  <c r="H34" i="29"/>
  <c r="I34" i="29"/>
  <c r="J34" i="29"/>
  <c r="K34" i="29"/>
  <c r="L34" i="29"/>
  <c r="M34" i="29"/>
  <c r="N34" i="29"/>
  <c r="O34" i="29"/>
  <c r="P34" i="29"/>
  <c r="Q34" i="29"/>
  <c r="R34" i="29"/>
  <c r="S34" i="29"/>
  <c r="T34" i="29"/>
  <c r="U34" i="29"/>
  <c r="V34" i="29"/>
  <c r="W34" i="29"/>
  <c r="X34" i="29"/>
  <c r="A35" i="29"/>
  <c r="B35" i="29"/>
  <c r="C35" i="29"/>
  <c r="D35" i="29"/>
  <c r="E35" i="29"/>
  <c r="F35" i="29"/>
  <c r="G35" i="29"/>
  <c r="H35" i="29"/>
  <c r="I35" i="29"/>
  <c r="J35" i="29"/>
  <c r="K35" i="29"/>
  <c r="L35" i="29"/>
  <c r="M35" i="29"/>
  <c r="N35" i="29"/>
  <c r="O35" i="29"/>
  <c r="P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P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P39" i="29"/>
  <c r="Q39" i="29"/>
  <c r="R39" i="29"/>
  <c r="S39" i="29"/>
  <c r="T39" i="29"/>
  <c r="U39" i="29"/>
  <c r="V39" i="29"/>
  <c r="W39" i="29"/>
  <c r="X39" i="29"/>
  <c r="A40" i="29"/>
  <c r="B40" i="29"/>
  <c r="C40" i="29"/>
  <c r="D40" i="29"/>
  <c r="E40" i="29"/>
  <c r="F40" i="29"/>
  <c r="G40" i="29"/>
  <c r="H40" i="29"/>
  <c r="I40" i="29"/>
  <c r="J40" i="29"/>
  <c r="K40" i="29"/>
  <c r="L40" i="29"/>
  <c r="M40" i="29"/>
  <c r="N40" i="29"/>
  <c r="O40" i="29"/>
  <c r="P40" i="29"/>
  <c r="Q40" i="29"/>
  <c r="R40" i="29"/>
  <c r="S40" i="29"/>
  <c r="T40" i="29"/>
  <c r="U40" i="29"/>
  <c r="V40" i="29"/>
  <c r="W40" i="29"/>
  <c r="X40" i="29"/>
  <c r="A41" i="29"/>
  <c r="B41" i="29"/>
  <c r="C41" i="29"/>
  <c r="D41" i="29"/>
  <c r="E41" i="29"/>
  <c r="F41" i="29"/>
  <c r="G41" i="29"/>
  <c r="H41" i="29"/>
  <c r="I41" i="29"/>
  <c r="J41" i="29"/>
  <c r="K41" i="29"/>
  <c r="L41" i="29"/>
  <c r="M41" i="29"/>
  <c r="N41" i="29"/>
  <c r="O41" i="29"/>
  <c r="P41" i="29"/>
  <c r="Q41" i="29"/>
  <c r="R41" i="29"/>
  <c r="S41" i="29"/>
  <c r="T41" i="29"/>
  <c r="U41" i="29"/>
  <c r="V41" i="29"/>
  <c r="W41" i="29"/>
  <c r="X41" i="29"/>
  <c r="A42" i="29"/>
  <c r="B42" i="29"/>
  <c r="C42" i="29"/>
  <c r="D42" i="29"/>
  <c r="E42" i="29"/>
  <c r="F42" i="29"/>
  <c r="G42" i="29"/>
  <c r="H42" i="29"/>
  <c r="I42" i="29"/>
  <c r="J42" i="29"/>
  <c r="K42" i="29"/>
  <c r="L42" i="29"/>
  <c r="M42" i="29"/>
  <c r="N42" i="29"/>
  <c r="O42" i="29"/>
  <c r="P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P44" i="29"/>
  <c r="Q44" i="29"/>
  <c r="R44" i="29"/>
  <c r="S44" i="29"/>
  <c r="T44" i="29"/>
  <c r="U44" i="29"/>
  <c r="V44" i="29"/>
  <c r="W44" i="29"/>
  <c r="X44" i="29"/>
  <c r="A45" i="29"/>
  <c r="B45" i="29"/>
  <c r="C45" i="29"/>
  <c r="D45" i="29"/>
  <c r="E45" i="29"/>
  <c r="F45" i="29"/>
  <c r="G45" i="29"/>
  <c r="H45" i="29"/>
  <c r="I45" i="29"/>
  <c r="J45" i="29"/>
  <c r="K45" i="29"/>
  <c r="L45" i="29"/>
  <c r="M45" i="29"/>
  <c r="N45" i="29"/>
  <c r="O45" i="29"/>
  <c r="P45" i="29"/>
  <c r="Q45" i="29"/>
  <c r="R45" i="29"/>
  <c r="S45" i="29"/>
  <c r="T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L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X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L4" i="13" s="1"/>
  <c r="I5" i="13"/>
  <c r="J5" i="13"/>
  <c r="K5" i="13" s="1"/>
  <c r="I6" i="13"/>
  <c r="J6" i="13"/>
  <c r="K6" i="13" s="1"/>
  <c r="I7" i="13"/>
  <c r="J7" i="13"/>
  <c r="K7" i="13" s="1"/>
  <c r="L7" i="13" s="1"/>
  <c r="I8" i="13"/>
  <c r="J8" i="13"/>
  <c r="K8" i="13" s="1"/>
  <c r="L8" i="13" s="1"/>
  <c r="I9" i="13"/>
  <c r="J9" i="13"/>
  <c r="K9" i="13" s="1"/>
  <c r="I10" i="13"/>
  <c r="J10" i="13"/>
  <c r="K10" i="13" s="1"/>
  <c r="I11" i="13"/>
  <c r="J11" i="13"/>
  <c r="K11" i="13" s="1"/>
  <c r="I12" i="13"/>
  <c r="J12" i="13"/>
  <c r="K12" i="13" s="1"/>
  <c r="L12" i="13" s="1"/>
  <c r="I13" i="13"/>
  <c r="J13" i="13"/>
  <c r="K13" i="13" s="1"/>
  <c r="L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L17" i="13" l="1"/>
  <c r="L21" i="13"/>
  <c r="L5" i="13"/>
  <c r="H33" i="27"/>
  <c r="H39" i="27" s="1"/>
  <c r="M19" i="29"/>
  <c r="L19" i="29"/>
  <c r="H19" i="27"/>
  <c r="G21" i="28"/>
  <c r="C14" i="28" s="1"/>
  <c r="G10" i="28"/>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1"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U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Y3" i="1" l="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s="1"/>
  <c r="T156" i="1" l="1"/>
  <c r="U156" i="1" s="1"/>
  <c r="T157" i="1" l="1"/>
  <c r="U157" i="1" s="1"/>
  <c r="T158" i="1" l="1"/>
  <c r="U158" i="1" s="1"/>
  <c r="T159" i="1" l="1"/>
  <c r="U159" i="1" s="1"/>
  <c r="T160" i="1" l="1"/>
  <c r="U160" i="1" s="1"/>
  <c r="T161" i="1" l="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<sst xmlns="http://schemas.openxmlformats.org/spreadsheetml/2006/main" count="1547" uniqueCount="434">
  <si>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</si>
  <si>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</si>
  <si>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</si>
  <si>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</si>
  <si>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</si>
  <si>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</si>
  <si>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</si>
  <si>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</si>
  <si>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</si>
  <si>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</si>
  <si>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</si>
  <si>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</si>
  <si>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</si>
  <si>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</si>
  <si>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</si>
  <si>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</si>
  <si>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</si>
  <si>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</si>
  <si>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</si>
  <si>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</si>
  <si>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</si>
  <si>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</si>
  <si>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</si>
  <si>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</si>
  <si>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</si>
  <si>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</si>
  <si>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</si>
  <si>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</si>
  <si>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</si>
  <si>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</si>
  <si>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</si>
  <si>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</si>
  <si>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</si>
  <si>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</si>
  <si>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</si>
  <si>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</si>
  <si>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</si>
  <si>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</si>
  <si>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</si>
  <si>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</si>
  <si>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</si>
  <si>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</si>
  <si>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</si>
  <si>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</si>
  <si>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</si>
  <si>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</si>
  <si>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</si>
  <si>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</si>
  <si>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</si>
  <si>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</si>
  <si>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</si>
  <si>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</si>
  <si>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</si>
  <si>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</si>
  <si>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</si>
  <si>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</si>
  <si>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</si>
  <si>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</si>
  <si>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</si>
  <si>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</si>
  <si>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</si>
  <si>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</si>
  <si>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</si>
  <si>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</si>
  <si>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</si>
  <si>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</si>
  <si>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</si>
  <si>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</si>
  <si>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</si>
  <si>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</si>
  <si>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</si>
  <si>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</si>
  <si>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</si>
  <si>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</si>
  <si>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</si>
  <si>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</si>
  <si>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</si>
  <si>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</si>
  <si>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</si>
  <si>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</si>
  <si>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</si>
  <si>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</si>
  <si>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</si>
  <si>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</si>
  <si>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</si>
  <si>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</si>
  <si>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</si>
  <si>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</si>
  <si>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</si>
  <si>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</si>
  <si>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</si>
  <si>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</si>
  <si>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</si>
  <si>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</si>
  <si>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</si>
  <si>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</si>
  <si>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</si>
  <si>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</si>
  <si>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</si>
  <si>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</si>
  <si>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</si>
  <si>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</si>
  <si>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</si>
  <si>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</si>
  <si>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</si>
  <si>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</si>
  <si>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</si>
  <si>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</si>
  <si>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</si>
  <si>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</si>
  <si>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</si>
  <si>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</si>
  <si>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</si>
  <si>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</si>
  <si>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</si>
  <si>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</si>
  <si>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</si>
  <si>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</si>
  <si>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</si>
  <si>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</si>
  <si>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</si>
  <si>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</si>
  <si>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</si>
  <si>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</si>
  <si>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</si>
  <si>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</si>
  <si>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</si>
  <si>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</si>
  <si>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</si>
  <si>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</si>
  <si>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</si>
  <si>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</si>
  <si>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</si>
  <si>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</si>
  <si>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</si>
  <si>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</si>
  <si>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</si>
  <si>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</si>
  <si>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</si>
  <si>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</si>
  <si>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</si>
  <si>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</si>
  <si>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</si>
  <si>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</si>
  <si>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</si>
  <si>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</si>
  <si>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</si>
  <si>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</si>
  <si>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</si>
  <si>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</si>
  <si>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</si>
  <si>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</si>
  <si>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</si>
  <si>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</si>
  <si>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</si>
  <si>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</si>
  <si>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</si>
  <si>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</si>
  <si>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</si>
  <si>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</si>
  <si>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</si>
  <si>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</si>
  <si>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</si>
  <si>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</si>
  <si>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</si>
  <si>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</si>
  <si>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</si>
  <si>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</si>
  <si>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</si>
  <si>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</si>
  <si>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</si>
  <si>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</si>
  <si>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</si>
  <si>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</si>
  <si>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</si>
  <si>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</si>
  <si>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</si>
  <si>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</si>
  <si>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</si>
  <si>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</si>
  <si>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</si>
  <si>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</si>
  <si>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</si>
  <si>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</si>
  <si>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</si>
  <si>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</si>
  <si>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</si>
  <si>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</si>
  <si>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</si>
  <si>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</si>
  <si>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</si>
  <si>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</si>
  <si>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</si>
  <si>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</si>
  <si>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</si>
  <si>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</si>
  <si>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</si>
  <si>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</si>
  <si>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</si>
  <si>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</si>
  <si>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</si>
  <si>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</si>
  <si>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</si>
  <si>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</si>
  <si>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</si>
  <si>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</si>
  <si>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</si>
  <si>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</si>
  <si>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</si>
  <si>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</si>
  <si>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</si>
  <si>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</si>
  <si>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</si>
  <si>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</si>
  <si>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</si>
  <si>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</si>
  <si>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</si>
  <si>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</si>
  <si>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</si>
  <si>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</si>
  <si>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</si>
  <si>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</si>
  <si>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</si>
  <si>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</si>
  <si>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</si>
  <si>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</si>
  <si>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</si>
  <si>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UTILITIES</t>
  </si>
  <si>
    <t>VIVINT          VIVINT</t>
  </si>
  <si>
    <t>GIFTS/DONATIONS</t>
  </si>
  <si>
    <t>UTILITIES : INTERNET</t>
  </si>
  <si>
    <t>Spectrum Mobile</t>
  </si>
  <si>
    <t>HEALTHINSURANCE</t>
  </si>
  <si>
    <t>UTILITIES : ELECTRICITY</t>
  </si>
  <si>
    <t>Subway 59801 Silver Spring NV Card #:0154</t>
  </si>
  <si>
    <t>DOCTOR/HOSPITAL</t>
  </si>
  <si>
    <t>0.00</t>
  </si>
  <si>
    <t>BANK/CARDFEES</t>
  </si>
  <si>
    <t>COMPUTERSOFTWARE/HARDWARE</t>
  </si>
  <si>
    <t>TITHE</t>
  </si>
  <si>
    <t>+Lincoln NationaEDI PYMNTS</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</si>
  <si>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</si>
  <si>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</si>
  <si>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</si>
  <si>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</si>
  <si>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</si>
  <si>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</si>
  <si>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</si>
  <si>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</si>
  <si>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</si>
  <si>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</si>
  <si>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</si>
  <si>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</si>
  <si>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</si>
  <si>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CHEVRON 0206448 SPARKS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</si>
  <si>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</si>
  <si>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</si>
  <si>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</si>
  <si>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</si>
  <si>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</si>
  <si>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</si>
  <si>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</si>
  <si>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</si>
  <si>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</si>
  <si>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</si>
  <si>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</si>
  <si>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</si>
  <si>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</si>
  <si>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</si>
  <si>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</si>
  <si>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</si>
  <si>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GEICO           PREM COLL 250514</t>
  </si>
  <si>
    <t>Payment Thank You - Web</t>
  </si>
  <si>
    <t>Rural Nevada Counse Silver Spring NV Card #:0154</t>
  </si>
  <si>
    <t>CHASE CREDIT CRDEPAY      250515</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</si>
  <si>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</si>
  <si>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</si>
  <si>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</si>
  <si>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</si>
  <si>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</si>
  <si>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</si>
  <si>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</si>
  <si>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</si>
  <si>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</si>
  <si>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</si>
  <si>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</si>
  <si>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</si>
  <si>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</si>
  <si>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</si>
  <si>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</si>
  <si>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</si>
  <si>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</si>
  <si>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</si>
  <si>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</si>
  <si>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</si>
  <si>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</si>
  <si>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</si>
  <si>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302.95</t>
  </si>
  <si>
    <t>87.90</t>
  </si>
  <si>
    <t>184.93</t>
  </si>
  <si>
    <t>3.95</t>
  </si>
  <si>
    <t>76.65</t>
  </si>
  <si>
    <t>69.35</t>
  </si>
  <si>
    <t>173.98</t>
  </si>
  <si>
    <t>20.00</t>
  </si>
  <si>
    <t>29.06</t>
  </si>
  <si>
    <t>5.35</t>
  </si>
  <si>
    <t>0.82</t>
  </si>
  <si>
    <t>1.32</t>
  </si>
  <si>
    <t>21.74</t>
  </si>
  <si>
    <t>17.04</t>
  </si>
  <si>
    <t>35.22</t>
  </si>
  <si>
    <t>0.72</t>
  </si>
  <si>
    <t>0.63</t>
  </si>
  <si>
    <t>9.96</t>
  </si>
  <si>
    <t>2.89</t>
  </si>
  <si>
    <t>6.08</t>
  </si>
  <si>
    <t>0.13</t>
  </si>
  <si>
    <t>2.52</t>
  </si>
  <si>
    <t>2.28</t>
  </si>
  <si>
    <t>5.72</t>
  </si>
  <si>
    <t>0.66</t>
  </si>
  <si>
    <t xml:space="preserve">   Title: Daily (dollars per Day)</t>
  </si>
  <si>
    <t>PT *RENOWN HEALTH</t>
  </si>
  <si>
    <t>CMS MEDICARE    PREMIUMS  250519</t>
  </si>
  <si>
    <t>Google YouTube Member</t>
  </si>
  <si>
    <t>SILVER STAGE PHARMA SILVER SPRING NV Card #:0154</t>
  </si>
  <si>
    <t>Quickie Mart RENO NV Card #:0154</t>
  </si>
  <si>
    <t>-185.0</t>
  </si>
  <si>
    <t>-237.8800048828125</t>
  </si>
  <si>
    <t>average days p/month</t>
  </si>
  <si>
    <t>days since the 1st</t>
  </si>
  <si>
    <t>Budgeted</t>
  </si>
  <si>
    <t>percentage over or under time-based ramp/scale</t>
  </si>
  <si>
    <t>(Negative means I've spent that much % less)</t>
  </si>
  <si>
    <t>% contributing towards budget savings/deviation</t>
  </si>
  <si>
    <t>ENTERPRISE RENT-A-CAR</t>
  </si>
  <si>
    <t>TRANSPORTATION/AUTO</t>
  </si>
  <si>
    <t>SP SWEET THORNS FLO 177-58420853 NV Card #:0154</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</si>
  <si>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</si>
  <si>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</si>
  <si>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</si>
  <si>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</si>
  <si>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</si>
  <si>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</si>
  <si>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</si>
  <si>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</si>
  <si>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</si>
  <si>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</si>
  <si>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</si>
  <si>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</si>
  <si>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</si>
  <si>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</si>
  <si>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</si>
  <si>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</si>
  <si>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</si>
  <si>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</si>
  <si>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-59.09000015258789</t>
  </si>
  <si>
    <t>-2.359999895095825</t>
  </si>
  <si>
    <t>WALMART.COM</t>
  </si>
  <si>
    <t>SILVER CROSSING SILVER SPRING NV Card #:0154</t>
  </si>
  <si>
    <t>SQ *LARRYS GOURMET CARSON CITY NV Card #:0154</t>
  </si>
  <si>
    <t>AMAZON MKTPL*N634F6CK2</t>
  </si>
  <si>
    <t>AUTOFORTIVA PMT PAYMENT   250527</t>
  </si>
  <si>
    <t>HIGH TECH COLLISION</t>
  </si>
  <si>
    <t>ONLINE BILL PAY</t>
  </si>
  <si>
    <t>TD AUTO FINANCE WEB PAY   250524</t>
  </si>
  <si>
    <t>AMAZON PRIME*NN5ZB7V60</t>
  </si>
  <si>
    <t>GAINWELL TECHNOLDIRECT DEP250530</t>
  </si>
  <si>
    <t>PIZZA FACTORY- SILVER SPR</t>
  </si>
  <si>
    <t>Amazon web services</t>
  </si>
  <si>
    <t>CTLP*INREACH</t>
  </si>
  <si>
    <t>PetSmart</t>
  </si>
  <si>
    <t>ATM Surcharge fees refund</t>
  </si>
  <si>
    <t>NV ENERGY NORTH SPPC PYMT</t>
  </si>
  <si>
    <t>BEST LIFE&amp;HEALTHPRIMARY</t>
  </si>
  <si>
    <t>FIREHOUSE SUBS 1013 MINDEN NV Card #:0154</t>
  </si>
  <si>
    <t>Gainwell TechnolLOA PAY   250603</t>
  </si>
  <si>
    <t>24 SEVEN SILVER SPGS Card #:0154</t>
  </si>
  <si>
    <t>DOLLAR GENERAL # DG SILVER SPRING NV Card #:0154</t>
  </si>
  <si>
    <t>THE SOCIAL BAR</t>
  </si>
  <si>
    <t>WHOLEFDS RNO 102 61 RENO NV Card #:0154</t>
  </si>
  <si>
    <t>AT&amp;amp;T FORDDATAPLAN</t>
  </si>
  <si>
    <t>YAHOO  *MAIL PLUS</t>
  </si>
  <si>
    <t>GAMES GALORE LLC RENO NV Card #:0154</t>
  </si>
  <si>
    <t>SHARE CHECK 1018</t>
  </si>
  <si>
    <t>TIRES PLUS 16861 RENO NV Card #:0154</t>
  </si>
  <si>
    <t>GAN*1011GAZETTEJRNCIRC</t>
  </si>
  <si>
    <t>TD AUTO FINANCE WEB PAY   250607</t>
  </si>
  <si>
    <t>CHASE CREDIT CRDEPAY      250611</t>
  </si>
  <si>
    <t>GAINWELL TECHNOLDIRECT DEP250613</t>
  </si>
  <si>
    <t>MSFT * E0600WFFDB</t>
  </si>
  <si>
    <t>SMITHS FO 2200 HWY. DAYTON Card #:0154</t>
  </si>
  <si>
    <t>STAGECOACH COUNTRY STAGECOACH Card #:0154</t>
  </si>
  <si>
    <t>9741 GREAT CLIPS AT DAYTON NV Card #:0154</t>
  </si>
  <si>
    <t>MISCELLANEOUS</t>
  </si>
  <si>
    <t>-150.94000244140625</t>
  </si>
  <si>
    <t>-81.48999786376953</t>
  </si>
  <si>
    <t>-74.79000091552734</t>
  </si>
  <si>
    <t>-27.0</t>
  </si>
  <si>
    <t>-5.590000152587891</t>
  </si>
  <si>
    <t>3.5</t>
  </si>
  <si>
    <t>-474.6400146484375</t>
  </si>
  <si>
    <t>-359.2200012207031</t>
  </si>
  <si>
    <t>-300.0</t>
  </si>
  <si>
    <t>-37.16999816894531</t>
  </si>
  <si>
    <t>30.00</t>
  </si>
  <si>
    <t>0.99</t>
  </si>
  <si>
    <t>7.278529377839301</t>
  </si>
  <si>
    <t>-280.9186845036395</t>
  </si>
  <si>
    <t>58.559526625946305</t>
  </si>
  <si>
    <t>82.25988870601427</t>
  </si>
  <si>
    <t>-1800.8292444740855</t>
  </si>
  <si>
    <t>-270.8304244836721</t>
  </si>
  <si>
    <t>-1154.3333943684897</t>
  </si>
  <si>
    <t>12.861842105263165</t>
  </si>
  <si>
    <t>8.360143274694048</t>
  </si>
  <si>
    <t>30.22990289135512</t>
  </si>
  <si>
    <t>-350.5681725704308</t>
  </si>
  <si>
    <t>-766.3478552776835</t>
  </si>
  <si>
    <t>-20.42982402600741</t>
  </si>
  <si>
    <t>-419.48486328125</t>
  </si>
  <si>
    <t>31.341266934833833</t>
  </si>
  <si>
    <t>-46.742424242424235</t>
  </si>
  <si>
    <t>CLOTHING</t>
  </si>
  <si>
    <t>40.54545547022963</t>
  </si>
  <si>
    <t>74.0909090909091</t>
  </si>
  <si>
    <t>-15.50793844556051</t>
  </si>
  <si>
    <t>-196.4615220289964</t>
  </si>
  <si>
    <t>TAXES</t>
  </si>
  <si>
    <t>-298.44000244140625</t>
  </si>
  <si>
    <t>-42.04871522428844</t>
  </si>
  <si>
    <t>Income Cumulative</t>
  </si>
  <si>
    <t>amount -over/+under linear prediction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</si>
</sst>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0"/>
    <numFmt numFmtId="165" formatCode="yyyy\-mm\-dd;@"/>
    <numFmt numFmtId="166" formatCode="[$-409]m/d/yy\ h:mm\ AM/PM;@"/>
    <numFmt numFmtId="167" formatCode="[h]:mm:ss;@"/>
    <numFmt numFmtId="168" formatCode="0.000"/>
  </numFmts>
  <fonts count="9"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
      <b/>
      <sz val="12"/>
      <color theme="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
      <patternFill patternType="solid">
        <fgColor theme="9"/>
        <bgColor theme="9"/>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53">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2"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0" fontId="0" fillId="0" borderId="0" xfId="0" applyNumberFormat="1"/>
    <xf numFmtId="0" fontId="8" fillId="9" borderId="1" xfId="0" applyFont="1" applyFill="1" applyBorder="1"/>
    <xf numFmtId="0" fontId="8" fillId="9" borderId="2" xfId="0" applyFont="1" applyFill="1" applyBorder="1"/>
    <xf numFmtId="0" fontId="0" fillId="8" borderId="2" xfId="0" applyFont="1" applyFill="1" applyBorder="1"/>
    <xf numFmtId="0" fontId="0" fillId="0" borderId="2" xfId="0" applyFont="1" applyBorder="1"/>
    <xf numFmtId="0" fontId="8" fillId="9" borderId="3" xfId="0" applyFont="1" applyFill="1" applyBorder="1"/>
    <xf numFmtId="14" fontId="0" fillId="8" borderId="1" xfId="0" applyNumberFormat="1" applyFont="1" applyFill="1" applyBorder="1"/>
    <xf numFmtId="0" fontId="0" fillId="8" borderId="2" xfId="0" applyNumberFormat="1" applyFont="1" applyFill="1" applyBorder="1"/>
    <xf numFmtId="0" fontId="0" fillId="8" borderId="3" xfId="0" applyNumberFormat="1" applyFont="1" applyFill="1" applyBorder="1"/>
    <xf numFmtId="14" fontId="0" fillId="0" borderId="1" xfId="0" applyNumberFormat="1" applyFont="1" applyBorder="1"/>
    <xf numFmtId="0" fontId="0" fillId="0" borderId="2" xfId="0" applyNumberFormat="1" applyFont="1" applyBorder="1"/>
    <xf numFmtId="0" fontId="0" fillId="0" borderId="3" xfId="0" applyNumberFormat="1" applyFont="1" applyBorder="1"/>
  </cellXfs>
  <cellStyles count="1">
    <cellStyle name="Normal" xfId="0" builtinId="0"/>
  </cellStyles>
  <dxfs count="32">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2" formatCode="0.00"/>
    </dxf>
    <dxf>
      <numFmt numFmtId="0" formatCode="General"/>
    </dxf>
    <dxf>
      <numFmt numFmtId="0" formatCode="General"/>
    </dxf>
    <dxf>
      <numFmt numFmtId="14" formatCode="0.00%"/>
    </dxf>
    <dxf>
      <numFmt numFmtId="164" formatCode="&quot;$&quot;#,##0.00"/>
    </dxf>
    <dxf>
      <numFmt numFmtId="2" formatCode="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1052</c:v>
                </c:pt>
                <c:pt idx="1">
                  <c:v>1052</c:v>
                </c:pt>
                <c:pt idx="2">
                  <c:v>1052</c:v>
                </c:pt>
                <c:pt idx="3">
                  <c:v>1052</c:v>
                </c:pt>
                <c:pt idx="4">
                  <c:v>1052</c:v>
                </c:pt>
                <c:pt idx="5">
                  <c:v>1053</c:v>
                </c:pt>
                <c:pt idx="6">
                  <c:v>1053</c:v>
                </c:pt>
                <c:pt idx="7">
                  <c:v>1053</c:v>
                </c:pt>
                <c:pt idx="8">
                  <c:v>1056</c:v>
                </c:pt>
                <c:pt idx="9">
                  <c:v>1057</c:v>
                </c:pt>
                <c:pt idx="10">
                  <c:v>1057</c:v>
                </c:pt>
                <c:pt idx="11">
                  <c:v>1058</c:v>
                </c:pt>
                <c:pt idx="12">
                  <c:v>1059</c:v>
                </c:pt>
                <c:pt idx="13">
                  <c:v>1059</c:v>
                </c:pt>
                <c:pt idx="14">
                  <c:v>1059</c:v>
                </c:pt>
                <c:pt idx="15">
                  <c:v>1059</c:v>
                </c:pt>
                <c:pt idx="16">
                  <c:v>1060</c:v>
                </c:pt>
                <c:pt idx="17">
                  <c:v>1060</c:v>
                </c:pt>
                <c:pt idx="18">
                  <c:v>1060</c:v>
                </c:pt>
                <c:pt idx="19">
                  <c:v>1061</c:v>
                </c:pt>
                <c:pt idx="20">
                  <c:v>1063</c:v>
                </c:pt>
                <c:pt idx="21">
                  <c:v>1064</c:v>
                </c:pt>
                <c:pt idx="22">
                  <c:v>1064</c:v>
                </c:pt>
                <c:pt idx="23">
                  <c:v>1064</c:v>
                </c:pt>
                <c:pt idx="24">
                  <c:v>1064</c:v>
                </c:pt>
                <c:pt idx="25">
                  <c:v>1064</c:v>
                </c:pt>
                <c:pt idx="26">
                  <c:v>1064</c:v>
                </c:pt>
                <c:pt idx="27">
                  <c:v>1064</c:v>
                </c:pt>
                <c:pt idx="28">
                  <c:v>1064</c:v>
                </c:pt>
                <c:pt idx="29">
                  <c:v>1064</c:v>
                </c:pt>
                <c:pt idx="30">
                  <c:v>1064</c:v>
                </c:pt>
                <c:pt idx="31">
                  <c:v>1064</c:v>
                </c:pt>
                <c:pt idx="32">
                  <c:v>1064</c:v>
                </c:pt>
                <c:pt idx="33">
                  <c:v>1064</c:v>
                </c:pt>
                <c:pt idx="34">
                  <c:v>1065</c:v>
                </c:pt>
                <c:pt idx="35">
                  <c:v>1065</c:v>
                </c:pt>
                <c:pt idx="36">
                  <c:v>1065</c:v>
                </c:pt>
                <c:pt idx="37">
                  <c:v>1065</c:v>
                </c:pt>
                <c:pt idx="38">
                  <c:v>1065</c:v>
                </c:pt>
                <c:pt idx="39">
                  <c:v>1065</c:v>
                </c:pt>
                <c:pt idx="40">
                  <c:v>1065</c:v>
                </c:pt>
                <c:pt idx="41">
                  <c:v>1065</c:v>
                </c:pt>
                <c:pt idx="42">
                  <c:v>1065</c:v>
                </c:pt>
                <c:pt idx="43">
                  <c:v>1065</c:v>
                </c:pt>
                <c:pt idx="44">
                  <c:v>1065</c:v>
                </c:pt>
                <c:pt idx="45">
                  <c:v>1065</c:v>
                </c:pt>
                <c:pt idx="46">
                  <c:v>1066</c:v>
                </c:pt>
                <c:pt idx="47">
                  <c:v>1066</c:v>
                </c:pt>
                <c:pt idx="48">
                  <c:v>1067</c:v>
                </c:pt>
                <c:pt idx="49">
                  <c:v>1067</c:v>
                </c:pt>
                <c:pt idx="50">
                  <c:v>1068</c:v>
                </c:pt>
                <c:pt idx="51">
                  <c:v>1069</c:v>
                </c:pt>
                <c:pt idx="52">
                  <c:v>1070</c:v>
                </c:pt>
                <c:pt idx="53">
                  <c:v>1070</c:v>
                </c:pt>
                <c:pt idx="54">
                  <c:v>1070</c:v>
                </c:pt>
                <c:pt idx="55">
                  <c:v>1070</c:v>
                </c:pt>
                <c:pt idx="56">
                  <c:v>1070</c:v>
                </c:pt>
                <c:pt idx="57">
                  <c:v>1070</c:v>
                </c:pt>
                <c:pt idx="58">
                  <c:v>1071</c:v>
                </c:pt>
                <c:pt idx="59">
                  <c:v>1071</c:v>
                </c:pt>
                <c:pt idx="60">
                  <c:v>1071</c:v>
                </c:pt>
                <c:pt idx="61">
                  <c:v>1071</c:v>
                </c:pt>
                <c:pt idx="62">
                  <c:v>1072</c:v>
                </c:pt>
                <c:pt idx="63">
                  <c:v>1072</c:v>
                </c:pt>
                <c:pt idx="64">
                  <c:v>1073</c:v>
                </c:pt>
                <c:pt idx="65">
                  <c:v>1073</c:v>
                </c:pt>
                <c:pt idx="66">
                  <c:v>1073</c:v>
                </c:pt>
                <c:pt idx="67">
                  <c:v>1073</c:v>
                </c:pt>
                <c:pt idx="68">
                  <c:v>1074</c:v>
                </c:pt>
                <c:pt idx="69">
                  <c:v>1075</c:v>
                </c:pt>
                <c:pt idx="70">
                  <c:v>1075</c:v>
                </c:pt>
                <c:pt idx="71">
                  <c:v>1075</c:v>
                </c:pt>
                <c:pt idx="72">
                  <c:v>1075</c:v>
                </c:pt>
                <c:pt idx="73">
                  <c:v>1076</c:v>
                </c:pt>
                <c:pt idx="74">
                  <c:v>1076</c:v>
                </c:pt>
                <c:pt idx="75">
                  <c:v>1077</c:v>
                </c:pt>
                <c:pt idx="76">
                  <c:v>1077</c:v>
                </c:pt>
                <c:pt idx="77">
                  <c:v>1077</c:v>
                </c:pt>
                <c:pt idx="78">
                  <c:v>1077</c:v>
                </c:pt>
                <c:pt idx="79">
                  <c:v>1078</c:v>
                </c:pt>
                <c:pt idx="80">
                  <c:v>1078</c:v>
                </c:pt>
                <c:pt idx="81">
                  <c:v>1078</c:v>
                </c:pt>
                <c:pt idx="82">
                  <c:v>1079</c:v>
                </c:pt>
                <c:pt idx="83">
                  <c:v>1079</c:v>
                </c:pt>
                <c:pt idx="84">
                  <c:v>1080</c:v>
                </c:pt>
                <c:pt idx="85">
                  <c:v>1080</c:v>
                </c:pt>
                <c:pt idx="86">
                  <c:v>1081</c:v>
                </c:pt>
                <c:pt idx="87">
                  <c:v>1081</c:v>
                </c:pt>
                <c:pt idx="88">
                  <c:v>1081</c:v>
                </c:pt>
                <c:pt idx="89">
                  <c:v>1082</c:v>
                </c:pt>
              </c:numCache>
            </c:numRef>
          </c:xVal>
          <c:yVal>
            <c:numRef>
              <c:f>CashFlow!$U$2:$U$91</c:f>
              <c:numCache>
                <c:formatCode>General</c:formatCode>
                <c:ptCount val="90"/>
                <c:pt idx="0">
                  <c:v>4</c:v>
                </c:pt>
                <c:pt idx="1">
                  <c:v>166.83000183105469</c:v>
                </c:pt>
                <c:pt idx="2">
                  <c:v>166.83000183105469</c:v>
                </c:pt>
                <c:pt idx="3">
                  <c:v>206.83000183105469</c:v>
                </c:pt>
                <c:pt idx="4">
                  <c:v>220.67000198364258</c:v>
                </c:pt>
                <c:pt idx="5">
                  <c:v>220.67000198364258</c:v>
                </c:pt>
                <c:pt idx="6">
                  <c:v>223.75000190734863</c:v>
                </c:pt>
                <c:pt idx="7">
                  <c:v>241.97000122070312</c:v>
                </c:pt>
                <c:pt idx="8">
                  <c:v>241.97000122070312</c:v>
                </c:pt>
                <c:pt idx="9">
                  <c:v>426.97000122070312</c:v>
                </c:pt>
                <c:pt idx="10">
                  <c:v>431.96000099182129</c:v>
                </c:pt>
                <c:pt idx="11">
                  <c:v>443.75000095367432</c:v>
                </c:pt>
                <c:pt idx="12">
                  <c:v>454.74000072479248</c:v>
                </c:pt>
                <c:pt idx="13">
                  <c:v>556.69999980926514</c:v>
                </c:pt>
                <c:pt idx="14">
                  <c:v>563.23000001907349</c:v>
                </c:pt>
                <c:pt idx="15">
                  <c:v>603.23000001907349</c:v>
                </c:pt>
                <c:pt idx="16">
                  <c:v>687.74000215530396</c:v>
                </c:pt>
                <c:pt idx="17">
                  <c:v>691.63000226020813</c:v>
                </c:pt>
                <c:pt idx="18">
                  <c:v>702.46000218391418</c:v>
                </c:pt>
                <c:pt idx="19">
                  <c:v>703.18000221252441</c:v>
                </c:pt>
                <c:pt idx="20">
                  <c:v>785.16000556945801</c:v>
                </c:pt>
                <c:pt idx="21">
                  <c:v>785.16000556945801</c:v>
                </c:pt>
                <c:pt idx="22">
                  <c:v>788.15000557899475</c:v>
                </c:pt>
                <c:pt idx="23">
                  <c:v>825.66000390052795</c:v>
                </c:pt>
                <c:pt idx="24">
                  <c:v>852.56000351905823</c:v>
                </c:pt>
                <c:pt idx="25">
                  <c:v>863.8300039768219</c:v>
                </c:pt>
                <c:pt idx="26">
                  <c:v>871.7200038433075</c:v>
                </c:pt>
                <c:pt idx="27">
                  <c:v>881.7200038433075</c:v>
                </c:pt>
                <c:pt idx="28">
                  <c:v>881.7200038433075</c:v>
                </c:pt>
                <c:pt idx="29">
                  <c:v>921.7200038433075</c:v>
                </c:pt>
                <c:pt idx="30">
                  <c:v>943.81000399589539</c:v>
                </c:pt>
                <c:pt idx="31">
                  <c:v>949.73000407218933</c:v>
                </c:pt>
                <c:pt idx="32">
                  <c:v>1073.7300040721893</c:v>
                </c:pt>
                <c:pt idx="33">
                  <c:v>1123.7300040721893</c:v>
                </c:pt>
                <c:pt idx="34">
                  <c:v>1166.560005903244</c:v>
                </c:pt>
                <c:pt idx="35">
                  <c:v>1191.1900050640106</c:v>
                </c:pt>
                <c:pt idx="36">
                  <c:v>1216.7200057506561</c:v>
                </c:pt>
                <c:pt idx="37">
                  <c:v>1219.0100057125092</c:v>
                </c:pt>
                <c:pt idx="38">
                  <c:v>1231.770005941391</c:v>
                </c:pt>
                <c:pt idx="39">
                  <c:v>1231.770005941391</c:v>
                </c:pt>
                <c:pt idx="40">
                  <c:v>1243.770005941391</c:v>
                </c:pt>
                <c:pt idx="41">
                  <c:v>1243.770005941391</c:v>
                </c:pt>
                <c:pt idx="42">
                  <c:v>1758.770005941391</c:v>
                </c:pt>
                <c:pt idx="43">
                  <c:v>1832.1000077724457</c:v>
                </c:pt>
                <c:pt idx="44">
                  <c:v>2273.9800126552582</c:v>
                </c:pt>
                <c:pt idx="45">
                  <c:v>2333.4400117397308</c:v>
                </c:pt>
                <c:pt idx="46">
                  <c:v>2348.430011510849</c:v>
                </c:pt>
                <c:pt idx="47">
                  <c:v>2348.430011510849</c:v>
                </c:pt>
                <c:pt idx="48">
                  <c:v>2348.430011510849</c:v>
                </c:pt>
                <c:pt idx="49">
                  <c:v>2364.9100110530853</c:v>
                </c:pt>
                <c:pt idx="50">
                  <c:v>2364.9100110530853</c:v>
                </c:pt>
                <c:pt idx="51">
                  <c:v>2374.9000108242035</c:v>
                </c:pt>
                <c:pt idx="52">
                  <c:v>2374.9000108242035</c:v>
                </c:pt>
                <c:pt idx="53">
                  <c:v>2377.2600107192993</c:v>
                </c:pt>
                <c:pt idx="54">
                  <c:v>2382.3600106239319</c:v>
                </c:pt>
                <c:pt idx="55">
                  <c:v>2385.5100107192993</c:v>
                </c:pt>
                <c:pt idx="56">
                  <c:v>2460.3000116348267</c:v>
                </c:pt>
                <c:pt idx="57">
                  <c:v>2519.3900117874146</c:v>
                </c:pt>
                <c:pt idx="58">
                  <c:v>2524.9800119400024</c:v>
                </c:pt>
                <c:pt idx="59">
                  <c:v>2538.9000120162964</c:v>
                </c:pt>
                <c:pt idx="60">
                  <c:v>2898.1200132369995</c:v>
                </c:pt>
                <c:pt idx="61">
                  <c:v>2938.1200132369995</c:v>
                </c:pt>
                <c:pt idx="62">
                  <c:v>2941.5100133419037</c:v>
                </c:pt>
                <c:pt idx="63">
                  <c:v>3063.2500112056732</c:v>
                </c:pt>
                <c:pt idx="64">
                  <c:v>3066.3400111198425</c:v>
                </c:pt>
                <c:pt idx="65">
                  <c:v>3069.8300111293793</c:v>
                </c:pt>
                <c:pt idx="66">
                  <c:v>3088.8200109004974</c:v>
                </c:pt>
                <c:pt idx="67">
                  <c:v>3128.8200109004974</c:v>
                </c:pt>
                <c:pt idx="68">
                  <c:v>3132.3100109100342</c:v>
                </c:pt>
                <c:pt idx="69">
                  <c:v>3144.3100109100342</c:v>
                </c:pt>
                <c:pt idx="70">
                  <c:v>3154.3100109100342</c:v>
                </c:pt>
                <c:pt idx="71">
                  <c:v>3159.3100109100342</c:v>
                </c:pt>
                <c:pt idx="72">
                  <c:v>3364.7900066375732</c:v>
                </c:pt>
                <c:pt idx="73">
                  <c:v>3384.8200073242188</c:v>
                </c:pt>
                <c:pt idx="74">
                  <c:v>3389.8200073242188</c:v>
                </c:pt>
                <c:pt idx="75">
                  <c:v>3394.1000075340271</c:v>
                </c:pt>
                <c:pt idx="76">
                  <c:v>3397.3400075435638</c:v>
                </c:pt>
                <c:pt idx="77">
                  <c:v>3697.3400075435638</c:v>
                </c:pt>
                <c:pt idx="78">
                  <c:v>4171.9800221920013</c:v>
                </c:pt>
                <c:pt idx="79">
                  <c:v>4174.5700221061707</c:v>
                </c:pt>
                <c:pt idx="80">
                  <c:v>4189.550021648407</c:v>
                </c:pt>
                <c:pt idx="81">
                  <c:v>4631.4300265312195</c:v>
                </c:pt>
                <c:pt idx="82">
                  <c:v>4637.3100266456604</c:v>
                </c:pt>
                <c:pt idx="83">
                  <c:v>4637.3100266456604</c:v>
                </c:pt>
                <c:pt idx="84">
                  <c:v>4637.3100266456604</c:v>
                </c:pt>
                <c:pt idx="85">
                  <c:v>4637.3100266456604</c:v>
                </c:pt>
                <c:pt idx="86">
                  <c:v>4649.8100266456604</c:v>
                </c:pt>
                <c:pt idx="87">
                  <c:v>4727.5300278663635</c:v>
                </c:pt>
                <c:pt idx="88">
                  <c:v>4730.5200278759003</c:v>
                </c:pt>
                <c:pt idx="89">
                  <c:v>4757.5200278759003</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1051</c:v>
                </c:pt>
                <c:pt idx="1">
                  <c:v>1081.4100000000001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1052</c:v>
                </c:pt>
                <c:pt idx="1">
                  <c:v>1052</c:v>
                </c:pt>
                <c:pt idx="2">
                  <c:v>1052</c:v>
                </c:pt>
                <c:pt idx="3">
                  <c:v>1052</c:v>
                </c:pt>
                <c:pt idx="4">
                  <c:v>1052</c:v>
                </c:pt>
                <c:pt idx="5">
                  <c:v>1053</c:v>
                </c:pt>
                <c:pt idx="6">
                  <c:v>1053</c:v>
                </c:pt>
                <c:pt idx="7">
                  <c:v>1053</c:v>
                </c:pt>
                <c:pt idx="8">
                  <c:v>1056</c:v>
                </c:pt>
                <c:pt idx="9">
                  <c:v>1057</c:v>
                </c:pt>
                <c:pt idx="10">
                  <c:v>1057</c:v>
                </c:pt>
                <c:pt idx="11">
                  <c:v>1058</c:v>
                </c:pt>
                <c:pt idx="12">
                  <c:v>1059</c:v>
                </c:pt>
                <c:pt idx="13">
                  <c:v>1059</c:v>
                </c:pt>
                <c:pt idx="14">
                  <c:v>1059</c:v>
                </c:pt>
                <c:pt idx="15">
                  <c:v>1059</c:v>
                </c:pt>
                <c:pt idx="16">
                  <c:v>1060</c:v>
                </c:pt>
                <c:pt idx="17">
                  <c:v>1060</c:v>
                </c:pt>
                <c:pt idx="18">
                  <c:v>1060</c:v>
                </c:pt>
                <c:pt idx="19">
                  <c:v>1061</c:v>
                </c:pt>
                <c:pt idx="20">
                  <c:v>1063</c:v>
                </c:pt>
                <c:pt idx="21">
                  <c:v>1064</c:v>
                </c:pt>
                <c:pt idx="22">
                  <c:v>1064</c:v>
                </c:pt>
                <c:pt idx="23">
                  <c:v>1064</c:v>
                </c:pt>
                <c:pt idx="24">
                  <c:v>1064</c:v>
                </c:pt>
                <c:pt idx="25">
                  <c:v>1064</c:v>
                </c:pt>
                <c:pt idx="26">
                  <c:v>1064</c:v>
                </c:pt>
                <c:pt idx="27">
                  <c:v>1064</c:v>
                </c:pt>
                <c:pt idx="28">
                  <c:v>1064</c:v>
                </c:pt>
                <c:pt idx="29">
                  <c:v>1064</c:v>
                </c:pt>
                <c:pt idx="30">
                  <c:v>1064</c:v>
                </c:pt>
                <c:pt idx="31">
                  <c:v>1064</c:v>
                </c:pt>
                <c:pt idx="32">
                  <c:v>1064</c:v>
                </c:pt>
                <c:pt idx="33">
                  <c:v>1064</c:v>
                </c:pt>
                <c:pt idx="34">
                  <c:v>1065</c:v>
                </c:pt>
                <c:pt idx="35">
                  <c:v>1065</c:v>
                </c:pt>
                <c:pt idx="36">
                  <c:v>1065</c:v>
                </c:pt>
                <c:pt idx="37">
                  <c:v>1065</c:v>
                </c:pt>
                <c:pt idx="38">
                  <c:v>1065</c:v>
                </c:pt>
                <c:pt idx="39">
                  <c:v>1065</c:v>
                </c:pt>
                <c:pt idx="40">
                  <c:v>1065</c:v>
                </c:pt>
                <c:pt idx="41">
                  <c:v>1065</c:v>
                </c:pt>
                <c:pt idx="42">
                  <c:v>1065</c:v>
                </c:pt>
                <c:pt idx="43">
                  <c:v>1065</c:v>
                </c:pt>
                <c:pt idx="44">
                  <c:v>1065</c:v>
                </c:pt>
                <c:pt idx="45">
                  <c:v>1065</c:v>
                </c:pt>
                <c:pt idx="46">
                  <c:v>1066</c:v>
                </c:pt>
                <c:pt idx="47">
                  <c:v>1066</c:v>
                </c:pt>
                <c:pt idx="48">
                  <c:v>1067</c:v>
                </c:pt>
                <c:pt idx="49">
                  <c:v>1067</c:v>
                </c:pt>
                <c:pt idx="50">
                  <c:v>1068</c:v>
                </c:pt>
                <c:pt idx="51">
                  <c:v>1069</c:v>
                </c:pt>
                <c:pt idx="52">
                  <c:v>1070</c:v>
                </c:pt>
                <c:pt idx="53">
                  <c:v>1070</c:v>
                </c:pt>
                <c:pt idx="54">
                  <c:v>1070</c:v>
                </c:pt>
                <c:pt idx="55">
                  <c:v>1070</c:v>
                </c:pt>
                <c:pt idx="56">
                  <c:v>1070</c:v>
                </c:pt>
                <c:pt idx="57">
                  <c:v>1070</c:v>
                </c:pt>
                <c:pt idx="58">
                  <c:v>1071</c:v>
                </c:pt>
                <c:pt idx="59">
                  <c:v>1071</c:v>
                </c:pt>
                <c:pt idx="60">
                  <c:v>1071</c:v>
                </c:pt>
                <c:pt idx="61">
                  <c:v>1071</c:v>
                </c:pt>
                <c:pt idx="62">
                  <c:v>1072</c:v>
                </c:pt>
                <c:pt idx="63">
                  <c:v>1072</c:v>
                </c:pt>
                <c:pt idx="64">
                  <c:v>1073</c:v>
                </c:pt>
                <c:pt idx="65">
                  <c:v>1073</c:v>
                </c:pt>
                <c:pt idx="66">
                  <c:v>1073</c:v>
                </c:pt>
                <c:pt idx="67">
                  <c:v>1073</c:v>
                </c:pt>
                <c:pt idx="68">
                  <c:v>1074</c:v>
                </c:pt>
                <c:pt idx="69">
                  <c:v>1075</c:v>
                </c:pt>
                <c:pt idx="70">
                  <c:v>1075</c:v>
                </c:pt>
                <c:pt idx="71">
                  <c:v>1075</c:v>
                </c:pt>
                <c:pt idx="72">
                  <c:v>1075</c:v>
                </c:pt>
                <c:pt idx="73">
                  <c:v>1076</c:v>
                </c:pt>
                <c:pt idx="74">
                  <c:v>1076</c:v>
                </c:pt>
                <c:pt idx="75">
                  <c:v>1077</c:v>
                </c:pt>
                <c:pt idx="76">
                  <c:v>1077</c:v>
                </c:pt>
                <c:pt idx="77">
                  <c:v>1077</c:v>
                </c:pt>
                <c:pt idx="78">
                  <c:v>1077</c:v>
                </c:pt>
                <c:pt idx="79">
                  <c:v>1078</c:v>
                </c:pt>
                <c:pt idx="80">
                  <c:v>1078</c:v>
                </c:pt>
                <c:pt idx="81">
                  <c:v>1078</c:v>
                </c:pt>
                <c:pt idx="82">
                  <c:v>1079</c:v>
                </c:pt>
                <c:pt idx="83">
                  <c:v>1079</c:v>
                </c:pt>
                <c:pt idx="84">
                  <c:v>1080</c:v>
                </c:pt>
                <c:pt idx="85">
                  <c:v>1080</c:v>
                </c:pt>
                <c:pt idx="86">
                  <c:v>1081</c:v>
                </c:pt>
                <c:pt idx="87">
                  <c:v>1081</c:v>
                </c:pt>
                <c:pt idx="88">
                  <c:v>1081</c:v>
                </c:pt>
                <c:pt idx="89">
                  <c:v>1082</c:v>
                </c:pt>
              </c:numCache>
            </c:numRef>
          </c:xVal>
          <c:yVal>
            <c:numRef>
              <c:f>CashFlow!$W$2:$W$193</c:f>
              <c:numCache>
                <c:formatCode>General</c:formatCode>
                <c:ptCount val="192"/>
                <c:pt idx="0">
                  <c:v>0</c:v>
                </c:pt>
                <c:pt idx="1">
                  <c:v>0</c:v>
                </c:pt>
                <c:pt idx="2">
                  <c:v>1681.6500244140625</c:v>
                </c:pt>
                <c:pt idx="3">
                  <c:v>1681.6500244140625</c:v>
                </c:pt>
                <c:pt idx="4">
                  <c:v>1681.6500244140625</c:v>
                </c:pt>
                <c:pt idx="5">
                  <c:v>1681.6500244140625</c:v>
                </c:pt>
                <c:pt idx="6">
                  <c:v>1681.6500244140625</c:v>
                </c:pt>
                <c:pt idx="7">
                  <c:v>1681.6500244140625</c:v>
                </c:pt>
                <c:pt idx="8">
                  <c:v>2299.300048828125</c:v>
                </c:pt>
                <c:pt idx="9">
                  <c:v>2299.300048828125</c:v>
                </c:pt>
                <c:pt idx="10">
                  <c:v>2299.300048828125</c:v>
                </c:pt>
                <c:pt idx="11">
                  <c:v>2299.300048828125</c:v>
                </c:pt>
                <c:pt idx="12">
                  <c:v>2299.300048828125</c:v>
                </c:pt>
                <c:pt idx="13">
                  <c:v>2299.300048828125</c:v>
                </c:pt>
                <c:pt idx="14">
                  <c:v>2299.300048828125</c:v>
                </c:pt>
                <c:pt idx="15">
                  <c:v>2299.300048828125</c:v>
                </c:pt>
                <c:pt idx="16">
                  <c:v>2299.300048828125</c:v>
                </c:pt>
                <c:pt idx="17">
                  <c:v>2299.300048828125</c:v>
                </c:pt>
                <c:pt idx="18">
                  <c:v>2299.300048828125</c:v>
                </c:pt>
                <c:pt idx="19">
                  <c:v>2299.300048828125</c:v>
                </c:pt>
                <c:pt idx="20">
                  <c:v>2299.300048828125</c:v>
                </c:pt>
                <c:pt idx="21">
                  <c:v>3019.9100341796875</c:v>
                </c:pt>
                <c:pt idx="22">
                  <c:v>3019.9100341796875</c:v>
                </c:pt>
                <c:pt idx="23">
                  <c:v>3019.9100341796875</c:v>
                </c:pt>
                <c:pt idx="24">
                  <c:v>3019.9100341796875</c:v>
                </c:pt>
                <c:pt idx="25">
                  <c:v>3019.9100341796875</c:v>
                </c:pt>
                <c:pt idx="26">
                  <c:v>3019.9100341796875</c:v>
                </c:pt>
                <c:pt idx="27">
                  <c:v>3019.9100341796875</c:v>
                </c:pt>
                <c:pt idx="28">
                  <c:v>3029.9100341796875</c:v>
                </c:pt>
                <c:pt idx="29">
                  <c:v>3029.9100341796875</c:v>
                </c:pt>
                <c:pt idx="30">
                  <c:v>3029.9100341796875</c:v>
                </c:pt>
                <c:pt idx="31">
                  <c:v>3029.9100341796875</c:v>
                </c:pt>
                <c:pt idx="32">
                  <c:v>3029.9100341796875</c:v>
                </c:pt>
                <c:pt idx="33">
                  <c:v>3029.9100341796875</c:v>
                </c:pt>
                <c:pt idx="34">
                  <c:v>3029.9100341796875</c:v>
                </c:pt>
                <c:pt idx="35">
                  <c:v>3029.9100341796875</c:v>
                </c:pt>
                <c:pt idx="36">
                  <c:v>3029.9100341796875</c:v>
                </c:pt>
                <c:pt idx="37">
                  <c:v>3029.9100341796875</c:v>
                </c:pt>
                <c:pt idx="38">
                  <c:v>3029.9100341796875</c:v>
                </c:pt>
                <c:pt idx="39">
                  <c:v>3128.4400329589844</c:v>
                </c:pt>
                <c:pt idx="40">
                  <c:v>3128.4400329589844</c:v>
                </c:pt>
                <c:pt idx="41">
                  <c:v>3140.4400329589844</c:v>
                </c:pt>
                <c:pt idx="42">
                  <c:v>3140.4400329589844</c:v>
                </c:pt>
                <c:pt idx="43">
                  <c:v>3140.4400329589844</c:v>
                </c:pt>
                <c:pt idx="44">
                  <c:v>3140.4400329589844</c:v>
                </c:pt>
                <c:pt idx="45">
                  <c:v>3140.4400329589844</c:v>
                </c:pt>
                <c:pt idx="46">
                  <c:v>3140.4400329589844</c:v>
                </c:pt>
                <c:pt idx="47">
                  <c:v>3155.6000328063965</c:v>
                </c:pt>
                <c:pt idx="48">
                  <c:v>3773.250057220459</c:v>
                </c:pt>
                <c:pt idx="49">
                  <c:v>3773.250057220459</c:v>
                </c:pt>
                <c:pt idx="50">
                  <c:v>3789.2300567626953</c:v>
                </c:pt>
                <c:pt idx="51">
                  <c:v>3789.2300567626953</c:v>
                </c:pt>
                <c:pt idx="52">
                  <c:v>3792.7300567626953</c:v>
                </c:pt>
                <c:pt idx="53">
                  <c:v>3792.7300567626953</c:v>
                </c:pt>
                <c:pt idx="54">
                  <c:v>3792.7300567626953</c:v>
                </c:pt>
                <c:pt idx="55">
                  <c:v>3792.7300567626953</c:v>
                </c:pt>
                <c:pt idx="56">
                  <c:v>3792.7300567626953</c:v>
                </c:pt>
                <c:pt idx="57">
                  <c:v>3792.7300567626953</c:v>
                </c:pt>
                <c:pt idx="58">
                  <c:v>3792.7300567626953</c:v>
                </c:pt>
                <c:pt idx="59">
                  <c:v>3792.7300567626953</c:v>
                </c:pt>
                <c:pt idx="60">
                  <c:v>3792.7300567626953</c:v>
                </c:pt>
                <c:pt idx="61">
                  <c:v>3792.7300567626953</c:v>
                </c:pt>
                <c:pt idx="62">
                  <c:v>3792.7300567626953</c:v>
                </c:pt>
                <c:pt idx="63">
                  <c:v>3792.7300567626953</c:v>
                </c:pt>
                <c:pt idx="64">
                  <c:v>3792.7300567626953</c:v>
                </c:pt>
                <c:pt idx="65">
                  <c:v>3792.7300567626953</c:v>
                </c:pt>
                <c:pt idx="66">
                  <c:v>3792.7300567626953</c:v>
                </c:pt>
                <c:pt idx="67">
                  <c:v>3792.7300567626953</c:v>
                </c:pt>
                <c:pt idx="68">
                  <c:v>3792.7300567626953</c:v>
                </c:pt>
                <c:pt idx="69">
                  <c:v>3792.7300567626953</c:v>
                </c:pt>
                <c:pt idx="70">
                  <c:v>3792.7300567626953</c:v>
                </c:pt>
                <c:pt idx="71">
                  <c:v>3792.7300567626953</c:v>
                </c:pt>
                <c:pt idx="72">
                  <c:v>3792.7300567626953</c:v>
                </c:pt>
                <c:pt idx="73">
                  <c:v>3792.7300567626953</c:v>
                </c:pt>
                <c:pt idx="74">
                  <c:v>3792.7300567626953</c:v>
                </c:pt>
                <c:pt idx="75">
                  <c:v>3792.7300567626953</c:v>
                </c:pt>
                <c:pt idx="76">
                  <c:v>3792.7300567626953</c:v>
                </c:pt>
                <c:pt idx="77">
                  <c:v>3792.7300567626953</c:v>
                </c:pt>
                <c:pt idx="78">
                  <c:v>3792.7300567626953</c:v>
                </c:pt>
                <c:pt idx="79">
                  <c:v>3792.7300567626953</c:v>
                </c:pt>
                <c:pt idx="80">
                  <c:v>3792.7300567626953</c:v>
                </c:pt>
                <c:pt idx="81">
                  <c:v>3792.7300567626953</c:v>
                </c:pt>
                <c:pt idx="82">
                  <c:v>3792.7300567626953</c:v>
                </c:pt>
                <c:pt idx="83">
                  <c:v>4975.0900421142578</c:v>
                </c:pt>
                <c:pt idx="84">
                  <c:v>4975.0900421142578</c:v>
                </c:pt>
                <c:pt idx="85">
                  <c:v>7852.3200225830078</c:v>
                </c:pt>
                <c:pt idx="86">
                  <c:v>7852.3200225830078</c:v>
                </c:pt>
                <c:pt idx="87">
                  <c:v>7852.3200225830078</c:v>
                </c:pt>
                <c:pt idx="88">
                  <c:v>7852.3200225830078</c:v>
                </c:pt>
                <c:pt idx="89">
                  <c:v>7852.3200225830078</c:v>
                </c:pt>
                <c:pt idx="90">
                  <c:v>7852.3200225830078</c:v>
                </c:pt>
                <c:pt idx="91">
                  <c:v>7852.3200225830078</c:v>
                </c:pt>
                <c:pt idx="92">
                  <c:v>7852.3200225830078</c:v>
                </c:pt>
                <c:pt idx="93">
                  <c:v>7852.3200225830078</c:v>
                </c:pt>
                <c:pt idx="94">
                  <c:v>7852.3200225830078</c:v>
                </c:pt>
                <c:pt idx="95">
                  <c:v>7852.3200225830078</c:v>
                </c:pt>
                <c:pt idx="96">
                  <c:v>7852.3200225830078</c:v>
                </c:pt>
                <c:pt idx="97">
                  <c:v>7852.3200225830078</c:v>
                </c:pt>
                <c:pt idx="98">
                  <c:v>7852.3200225830078</c:v>
                </c:pt>
                <c:pt idx="99">
                  <c:v>7852.3200225830078</c:v>
                </c:pt>
                <c:pt idx="100">
                  <c:v>7852.3200225830078</c:v>
                </c:pt>
                <c:pt idx="101">
                  <c:v>7852.3200225830078</c:v>
                </c:pt>
                <c:pt idx="102">
                  <c:v>7852.3200225830078</c:v>
                </c:pt>
                <c:pt idx="103">
                  <c:v>7852.3200225830078</c:v>
                </c:pt>
                <c:pt idx="104">
                  <c:v>7852.3200225830078</c:v>
                </c:pt>
                <c:pt idx="105">
                  <c:v>7852.3200225830078</c:v>
                </c:pt>
                <c:pt idx="106">
                  <c:v>7852.3200225830078</c:v>
                </c:pt>
                <c:pt idx="107">
                  <c:v>7852.3200225830078</c:v>
                </c:pt>
                <c:pt idx="108">
                  <c:v>7852.3200225830078</c:v>
                </c:pt>
                <c:pt idx="109">
                  <c:v>7852.3200225830078</c:v>
                </c:pt>
                <c:pt idx="110">
                  <c:v>7852.3200225830078</c:v>
                </c:pt>
                <c:pt idx="111">
                  <c:v>7852.3200225830078</c:v>
                </c:pt>
                <c:pt idx="112">
                  <c:v>7852.3200225830078</c:v>
                </c:pt>
                <c:pt idx="113">
                  <c:v>7852.3200225830078</c:v>
                </c:pt>
                <c:pt idx="114">
                  <c:v>7852.3200225830078</c:v>
                </c:pt>
                <c:pt idx="115">
                  <c:v>7852.3200225830078</c:v>
                </c:pt>
                <c:pt idx="116">
                  <c:v>7852.3200225830078</c:v>
                </c:pt>
                <c:pt idx="117">
                  <c:v>7852.3200225830078</c:v>
                </c:pt>
                <c:pt idx="118">
                  <c:v>7852.3200225830078</c:v>
                </c:pt>
                <c:pt idx="119">
                  <c:v>7852.3200225830078</c:v>
                </c:pt>
                <c:pt idx="120">
                  <c:v>7852.3200225830078</c:v>
                </c:pt>
                <c:pt idx="121">
                  <c:v>7852.3200225830078</c:v>
                </c:pt>
                <c:pt idx="122">
                  <c:v>7852.3200225830078</c:v>
                </c:pt>
                <c:pt idx="123">
                  <c:v>7852.3200225830078</c:v>
                </c:pt>
                <c:pt idx="124">
                  <c:v>7852.3200225830078</c:v>
                </c:pt>
                <c:pt idx="125">
                  <c:v>7852.3200225830078</c:v>
                </c:pt>
                <c:pt idx="126">
                  <c:v>7852.3200225830078</c:v>
                </c:pt>
                <c:pt idx="127">
                  <c:v>7852.3200225830078</c:v>
                </c:pt>
                <c:pt idx="128">
                  <c:v>7852.3200225830078</c:v>
                </c:pt>
                <c:pt idx="129">
                  <c:v>7852.3200225830078</c:v>
                </c:pt>
                <c:pt idx="130">
                  <c:v>7852.3200225830078</c:v>
                </c:pt>
                <c:pt idx="131">
                  <c:v>7852.3200225830078</c:v>
                </c:pt>
                <c:pt idx="132">
                  <c:v>7852.3200225830078</c:v>
                </c:pt>
                <c:pt idx="133">
                  <c:v>7852.3200225830078</c:v>
                </c:pt>
                <c:pt idx="134">
                  <c:v>7852.3200225830078</c:v>
                </c:pt>
                <c:pt idx="135">
                  <c:v>7852.3200225830078</c:v>
                </c:pt>
                <c:pt idx="136">
                  <c:v>7852.3200225830078</c:v>
                </c:pt>
                <c:pt idx="137">
                  <c:v>7852.3200225830078</c:v>
                </c:pt>
                <c:pt idx="138">
                  <c:v>7852.3200225830078</c:v>
                </c:pt>
                <c:pt idx="139">
                  <c:v>7852.3200225830078</c:v>
                </c:pt>
                <c:pt idx="140">
                  <c:v>7852.3200225830078</c:v>
                </c:pt>
                <c:pt idx="141">
                  <c:v>7852.3200225830078</c:v>
                </c:pt>
                <c:pt idx="142">
                  <c:v>7852.3200225830078</c:v>
                </c:pt>
                <c:pt idx="143">
                  <c:v>7852.3200225830078</c:v>
                </c:pt>
                <c:pt idx="144">
                  <c:v>7852.3200225830078</c:v>
                </c:pt>
                <c:pt idx="145">
                  <c:v>7852.3200225830078</c:v>
                </c:pt>
                <c:pt idx="146">
                  <c:v>7852.3200225830078</c:v>
                </c:pt>
                <c:pt idx="147">
                  <c:v>7852.3200225830078</c:v>
                </c:pt>
                <c:pt idx="148">
                  <c:v>7852.3200225830078</c:v>
                </c:pt>
                <c:pt idx="149">
                  <c:v>7852.3200225830078</c:v>
                </c:pt>
                <c:pt idx="150">
                  <c:v>7852.3200225830078</c:v>
                </c:pt>
                <c:pt idx="151">
                  <c:v>7852.3200225830078</c:v>
                </c:pt>
                <c:pt idx="152">
                  <c:v>7852.3200225830078</c:v>
                </c:pt>
                <c:pt idx="153">
                  <c:v>7852.3200225830078</c:v>
                </c:pt>
                <c:pt idx="154">
                  <c:v>7852.3200225830078</c:v>
                </c:pt>
                <c:pt idx="155">
                  <c:v>7852.3200225830078</c:v>
                </c:pt>
                <c:pt idx="156">
                  <c:v>7852.3200225830078</c:v>
                </c:pt>
                <c:pt idx="157">
                  <c:v>7852.3200225830078</c:v>
                </c:pt>
                <c:pt idx="158">
                  <c:v>7852.3200225830078</c:v>
                </c:pt>
                <c:pt idx="159">
                  <c:v>7852.3200225830078</c:v>
                </c:pt>
                <c:pt idx="160">
                  <c:v>7852.3200225830078</c:v>
                </c:pt>
                <c:pt idx="161">
                  <c:v>7852.3200225830078</c:v>
                </c:pt>
                <c:pt idx="162">
                  <c:v>7852.3200225830078</c:v>
                </c:pt>
                <c:pt idx="163">
                  <c:v>7852.3200225830078</c:v>
                </c:pt>
                <c:pt idx="164">
                  <c:v>7852.3200225830078</c:v>
                </c:pt>
                <c:pt idx="165">
                  <c:v>7852.3200225830078</c:v>
                </c:pt>
                <c:pt idx="166">
                  <c:v>7852.3200225830078</c:v>
                </c:pt>
                <c:pt idx="167">
                  <c:v>7852.3200225830078</c:v>
                </c:pt>
                <c:pt idx="168">
                  <c:v>7852.3200225830078</c:v>
                </c:pt>
                <c:pt idx="169">
                  <c:v>7852.3200225830078</c:v>
                </c:pt>
                <c:pt idx="170">
                  <c:v>7852.3200225830078</c:v>
                </c:pt>
                <c:pt idx="171">
                  <c:v>7852.3200225830078</c:v>
                </c:pt>
                <c:pt idx="172">
                  <c:v>7852.3200225830078</c:v>
                </c:pt>
                <c:pt idx="173">
                  <c:v>7852.3200225830078</c:v>
                </c:pt>
                <c:pt idx="174">
                  <c:v>7852.3200225830078</c:v>
                </c:pt>
                <c:pt idx="175">
                  <c:v>7852.3200225830078</c:v>
                </c:pt>
                <c:pt idx="176">
                  <c:v>7852.3200225830078</c:v>
                </c:pt>
                <c:pt idx="177">
                  <c:v>7852.3200225830078</c:v>
                </c:pt>
                <c:pt idx="178">
                  <c:v>7852.3200225830078</c:v>
                </c:pt>
                <c:pt idx="179">
                  <c:v>7852.3200225830078</c:v>
                </c:pt>
                <c:pt idx="180">
                  <c:v>7852.3200225830078</c:v>
                </c:pt>
                <c:pt idx="181">
                  <c:v>7852.3200225830078</c:v>
                </c:pt>
                <c:pt idx="182">
                  <c:v>7852.3200225830078</c:v>
                </c:pt>
                <c:pt idx="183">
                  <c:v>7852.3200225830078</c:v>
                </c:pt>
                <c:pt idx="184">
                  <c:v>7852.3200225830078</c:v>
                </c:pt>
                <c:pt idx="185">
                  <c:v>7852.3200225830078</c:v>
                </c:pt>
                <c:pt idx="186">
                  <c:v>7852.3200225830078</c:v>
                </c:pt>
                <c:pt idx="187">
                  <c:v>7852.3200225830078</c:v>
                </c:pt>
                <c:pt idx="188">
                  <c:v>7852.3200225830078</c:v>
                </c:pt>
                <c:pt idx="189">
                  <c:v>7852.3200225830078</c:v>
                </c:pt>
                <c:pt idx="190">
                  <c:v>7852.3200225830078</c:v>
                </c:pt>
                <c:pt idx="191">
                  <c:v>7852.3200225830078</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dPt>
          <c:dPt>
            <c:idx val="20"/>
            <c:bubble3D val="0"/>
            <c:spPr>
              <a:solidFill>
                <a:schemeClr val="accent3">
                  <a:lumMod val="80000"/>
                </a:schemeClr>
              </a:solidFill>
              <a:ln w="19050">
                <a:solidFill>
                  <a:schemeClr val="lt1"/>
                </a:solidFill>
              </a:ln>
              <a:effectLst/>
            </c:spPr>
          </c:dPt>
          <c:dPt>
            <c:idx val="21"/>
            <c:bubble3D val="0"/>
            <c:spPr>
              <a:solidFill>
                <a:schemeClr val="accent4">
                  <a:lumMod val="8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BudgetPieChart!$A$2:$A$23</c:f>
              <c:strCache>
                <c:ptCount val="22"/>
                <c:pt idx="0">
                  <c:v>AUTOMAINTENANCE</c:v>
                </c:pt>
                <c:pt idx="1">
                  <c:v>AUTO FINANCE</c:v>
                </c:pt>
                <c:pt idx="2">
                  <c:v>HOUSEHOLD</c:v>
                </c:pt>
                <c:pt idx="3">
                  <c:v>GAS</c:v>
                </c:pt>
                <c:pt idx="4">
                  <c:v>FOOD/GROCERIES</c:v>
                </c:pt>
                <c:pt idx="5">
                  <c:v>MEDICAL/DENTAL/VISION INSURANCE</c:v>
                </c:pt>
                <c:pt idx="6">
                  <c:v>DOCTOR/HOSPITAL</c:v>
                </c:pt>
                <c:pt idx="7">
                  <c:v>MEDICAL/DENTAL/VISION</c:v>
                </c:pt>
                <c:pt idx="8">
                  <c:v>UTILITIES : INTERNET</c:v>
                </c:pt>
                <c:pt idx="9">
                  <c:v>AUTOINSURANCE</c:v>
                </c:pt>
                <c:pt idx="10">
                  <c:v>INTERNET SERVICE</c:v>
                </c:pt>
                <c:pt idx="11">
                  <c:v>DININGOUT</c:v>
                </c:pt>
                <c:pt idx="12">
                  <c:v>UTILITIES : ELECTRICITY</c:v>
                </c:pt>
                <c:pt idx="13">
                  <c:v>PETCARE</c:v>
                </c:pt>
                <c:pt idx="14">
                  <c:v>BOOKS/EDUCATION</c:v>
                </c:pt>
                <c:pt idx="15">
                  <c:v>LEGAL/DEBT</c:v>
                </c:pt>
                <c:pt idx="16">
                  <c:v>MISCELLANEOUS</c:v>
                </c:pt>
                <c:pt idx="17">
                  <c:v>HEALTHINSURANCE</c:v>
                </c:pt>
                <c:pt idx="18">
                  <c:v>TRANSPORTATION/AUTO</c:v>
                </c:pt>
                <c:pt idx="19">
                  <c:v>COMPUTERSOFTWARE/HARDWARE</c:v>
                </c:pt>
                <c:pt idx="20">
                  <c:v>GIFTS/DONATIONS</c:v>
                </c:pt>
                <c:pt idx="21">
                  <c:v>CASH</c:v>
                </c:pt>
              </c:strCache>
            </c:strRef>
          </c:cat>
          <c:val>
            <c:numRef>
              <c:f>BudgetPieChart!$B$2:$B$23</c:f>
              <c:numCache>
                <c:formatCode>General</c:formatCode>
                <c:ptCount val="22"/>
                <c:pt idx="0">
                  <c:v>-989.6400146484375</c:v>
                </c:pt>
                <c:pt idx="1">
                  <c:v>-883.760009765625</c:v>
                </c:pt>
                <c:pt idx="2">
                  <c:v>-394.91998291015625</c:v>
                </c:pt>
                <c:pt idx="3">
                  <c:v>-389.57998657226562</c:v>
                </c:pt>
                <c:pt idx="4">
                  <c:v>-386.95001220703125</c:v>
                </c:pt>
                <c:pt idx="5">
                  <c:v>-373.05999755859375</c:v>
                </c:pt>
                <c:pt idx="6">
                  <c:v>-248.91999816894531</c:v>
                </c:pt>
                <c:pt idx="7">
                  <c:v>-185</c:v>
                </c:pt>
                <c:pt idx="8">
                  <c:v>-174</c:v>
                </c:pt>
                <c:pt idx="9">
                  <c:v>-162.83000183105469</c:v>
                </c:pt>
                <c:pt idx="10">
                  <c:v>-115.44999694824219</c:v>
                </c:pt>
                <c:pt idx="11">
                  <c:v>-77.790000915527344</c:v>
                </c:pt>
                <c:pt idx="12">
                  <c:v>-74.790000915527344</c:v>
                </c:pt>
                <c:pt idx="13">
                  <c:v>-59.090000152587891</c:v>
                </c:pt>
                <c:pt idx="14">
                  <c:v>-42.830001831054688</c:v>
                </c:pt>
                <c:pt idx="15">
                  <c:v>-40</c:v>
                </c:pt>
                <c:pt idx="16">
                  <c:v>-27</c:v>
                </c:pt>
                <c:pt idx="17">
                  <c:v>-5.5900001525878906</c:v>
                </c:pt>
                <c:pt idx="18">
                  <c:v>-3.4300003051757812</c:v>
                </c:pt>
                <c:pt idx="19">
                  <c:v>-2.3599998950958252</c:v>
                </c:pt>
                <c:pt idx="20">
                  <c:v>0</c:v>
                </c:pt>
                <c:pt idx="21">
                  <c:v>3.5</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cell r="K2" t="str">
            <v>:</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G9" t="e">
            <v>#VALUE!</v>
          </cell>
          <cell r="M9">
            <v>0</v>
          </cell>
          <cell r="P9" t="e">
            <v>#VALUE!</v>
          </cell>
          <cell r="Q9">
            <v>4.1989999999999998</v>
          </cell>
        </row>
        <row r="10">
          <cell r="A10">
            <v>45796</v>
          </cell>
          <cell r="E10">
            <v>16.899999999999999</v>
          </cell>
          <cell r="G10">
            <v>11578.6</v>
          </cell>
          <cell r="I10">
            <v>11578.6</v>
          </cell>
          <cell r="M10">
            <v>0</v>
          </cell>
          <cell r="P10">
            <v>0</v>
          </cell>
          <cell r="Q10">
            <v>4.1989999999999998</v>
          </cell>
        </row>
        <row r="11">
          <cell r="A11">
            <v>45796</v>
          </cell>
          <cell r="G11">
            <v>7.7999999999992724</v>
          </cell>
          <cell r="H11" t="str">
            <v>5/8</v>
          </cell>
          <cell r="I11">
            <v>11586.4</v>
          </cell>
          <cell r="M11">
            <v>0</v>
          </cell>
          <cell r="P11">
            <v>0</v>
          </cell>
          <cell r="Q11">
            <v>4.1989999999999998</v>
          </cell>
          <cell r="R11">
            <v>0.625</v>
          </cell>
        </row>
        <row r="12">
          <cell r="A12">
            <v>45796</v>
          </cell>
          <cell r="E12">
            <v>16.399999999999999</v>
          </cell>
          <cell r="F12">
            <v>1.1624884259259258</v>
          </cell>
          <cell r="G12">
            <v>7</v>
          </cell>
          <cell r="H12" t="str">
            <v xml:space="preserve">9/16 </v>
          </cell>
          <cell r="I12">
            <v>11593.4</v>
          </cell>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E13">
            <v>0</v>
          </cell>
          <cell r="F13">
            <v>0</v>
          </cell>
          <cell r="G13">
            <v>0</v>
          </cell>
          <cell r="H13" t="str">
            <v>9/16</v>
          </cell>
          <cell r="I13">
            <v>11593.4</v>
          </cell>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E14">
            <v>0</v>
          </cell>
          <cell r="F14">
            <v>1.1087962962962963E-2</v>
          </cell>
          <cell r="G14">
            <v>0</v>
          </cell>
          <cell r="H14" t="str">
            <v>9/16</v>
          </cell>
          <cell r="I14">
            <v>11593.4</v>
          </cell>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E15">
            <v>19.2</v>
          </cell>
          <cell r="F15">
            <v>7.3831018518518518E-2</v>
          </cell>
          <cell r="G15">
            <v>63.300000000001091</v>
          </cell>
          <cell r="H15">
            <v>0.4375</v>
          </cell>
          <cell r="I15">
            <v>11656.7</v>
          </cell>
          <cell r="M15">
            <v>1.5058333333333334</v>
          </cell>
          <cell r="N15">
            <v>42.036524626453406</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L16">
            <v>0</v>
          </cell>
          <cell r="M16">
            <v>0.76249999999999996</v>
          </cell>
          <cell r="N16">
            <v>27.934426229507245</v>
          </cell>
          <cell r="O16">
            <v>0</v>
          </cell>
          <cell r="P16">
            <v>0</v>
          </cell>
          <cell r="Q16">
            <v>4.1989999999999998</v>
          </cell>
          <cell r="R16">
            <v>0.375</v>
          </cell>
          <cell r="S16" t="b">
            <v>0</v>
          </cell>
          <cell r="T16">
            <v>0</v>
          </cell>
          <cell r="U16">
            <v>63.300000000001091</v>
          </cell>
          <cell r="V16">
            <v>11656.7</v>
          </cell>
          <cell r="W16">
            <v>0</v>
          </cell>
          <cell r="X16">
            <v>2</v>
          </cell>
        </row>
        <row r="17">
          <cell r="A17">
            <v>45798.759027777778</v>
          </cell>
          <cell r="E17">
            <v>18.7</v>
          </cell>
          <cell r="F17">
            <v>4.3425925925925923E-2</v>
          </cell>
          <cell r="G17">
            <v>12.100000000000364</v>
          </cell>
          <cell r="H17">
            <v>0.375</v>
          </cell>
          <cell r="I17">
            <v>11690.1</v>
          </cell>
          <cell r="L17">
            <v>0</v>
          </cell>
          <cell r="M17">
            <v>0.27972222222222221</v>
          </cell>
          <cell r="N17">
            <v>43.257199602781839</v>
          </cell>
          <cell r="O17">
            <v>0</v>
          </cell>
          <cell r="P17">
            <v>0</v>
          </cell>
          <cell r="Q17">
            <v>4.1989999999999998</v>
          </cell>
          <cell r="R17">
            <v>0.375</v>
          </cell>
          <cell r="S17" t="b">
            <v>0</v>
          </cell>
          <cell r="T17">
            <v>0</v>
          </cell>
          <cell r="U17">
            <v>21.299999999999272</v>
          </cell>
          <cell r="V17">
            <v>11678</v>
          </cell>
          <cell r="W17">
            <v>0</v>
          </cell>
          <cell r="X17">
            <v>0</v>
          </cell>
        </row>
        <row r="18">
          <cell r="A18">
            <v>45798</v>
          </cell>
          <cell r="E18">
            <v>15.3</v>
          </cell>
          <cell r="F18">
            <v>3.7465277777777778E-2</v>
          </cell>
          <cell r="G18">
            <v>15.899999999999636</v>
          </cell>
          <cell r="H18">
            <v>0.375</v>
          </cell>
          <cell r="I18">
            <v>11706</v>
          </cell>
          <cell r="L18">
            <v>0</v>
          </cell>
          <cell r="M18">
            <v>0.89916666666666667</v>
          </cell>
          <cell r="N18">
            <v>17.683039851714145</v>
          </cell>
          <cell r="O18">
            <v>0</v>
          </cell>
          <cell r="P18">
            <v>0</v>
          </cell>
          <cell r="Q18">
            <v>4.1989999999999998</v>
          </cell>
          <cell r="R18">
            <v>0.375</v>
          </cell>
          <cell r="S18" t="b">
            <v>0</v>
          </cell>
          <cell r="T18">
            <v>0</v>
          </cell>
          <cell r="U18">
            <v>12.100000000000364</v>
          </cell>
          <cell r="V18">
            <v>11690.1</v>
          </cell>
          <cell r="W18">
            <v>0</v>
          </cell>
          <cell r="X18">
            <v>0</v>
          </cell>
        </row>
        <row r="19">
          <cell r="A19">
            <v>45799.320833333331</v>
          </cell>
          <cell r="E19">
            <v>14.4</v>
          </cell>
          <cell r="F19">
            <v>4.6759259259259257E-2</v>
          </cell>
          <cell r="G19">
            <v>3.5</v>
          </cell>
          <cell r="H19">
            <v>0.375</v>
          </cell>
          <cell r="I19">
            <v>11709.5</v>
          </cell>
          <cell r="L19">
            <v>0</v>
          </cell>
          <cell r="M19">
            <v>0.22305555555555551</v>
          </cell>
          <cell r="N19">
            <v>15.691158156911586</v>
          </cell>
          <cell r="O19">
            <v>0</v>
          </cell>
          <cell r="P19">
            <v>0</v>
          </cell>
          <cell r="Q19">
            <v>4.1989999999999998</v>
          </cell>
          <cell r="R19">
            <v>0.375</v>
          </cell>
          <cell r="S19" t="b">
            <v>0</v>
          </cell>
          <cell r="T19">
            <v>0</v>
          </cell>
          <cell r="U19">
            <v>15.899999999999636</v>
          </cell>
          <cell r="V19">
            <v>11706</v>
          </cell>
          <cell r="W19">
            <v>0</v>
          </cell>
          <cell r="X19">
            <v>0</v>
          </cell>
        </row>
        <row r="20">
          <cell r="A20">
            <v>45799.326388888891</v>
          </cell>
          <cell r="C20" t="str">
            <v>Idle?</v>
          </cell>
          <cell r="E20">
            <v>14.4</v>
          </cell>
          <cell r="F20">
            <v>4.6759259259259257E-2</v>
          </cell>
          <cell r="G20">
            <v>0</v>
          </cell>
          <cell r="H20">
            <v>1</v>
          </cell>
          <cell r="I20">
            <v>11709.5</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L21">
            <v>0</v>
          </cell>
          <cell r="M21">
            <v>2.3049999999999997</v>
          </cell>
          <cell r="N21">
            <v>55.791757049891544</v>
          </cell>
          <cell r="O21">
            <v>0</v>
          </cell>
          <cell r="P21">
            <v>0</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L22">
            <v>0</v>
          </cell>
          <cell r="M22">
            <v>2.5544444444444445</v>
          </cell>
          <cell r="N22">
            <v>45.528490648107869</v>
          </cell>
          <cell r="O22">
            <v>0</v>
          </cell>
          <cell r="P22">
            <v>0</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L23">
            <v>0</v>
          </cell>
          <cell r="M23">
            <v>0.25</v>
          </cell>
          <cell r="N23">
            <v>2.8</v>
          </cell>
          <cell r="O23">
            <v>0</v>
          </cell>
          <cell r="P23">
            <v>0</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L24">
            <v>0.7</v>
          </cell>
          <cell r="M24">
            <v>0.38388888888888884</v>
          </cell>
          <cell r="N24">
            <v>69.811866859623748</v>
          </cell>
          <cell r="O24">
            <v>0</v>
          </cell>
          <cell r="P24">
            <v>0</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L25">
            <v>0</v>
          </cell>
          <cell r="M25">
            <v>0.29500000000000004</v>
          </cell>
          <cell r="N25">
            <v>45.084745762711862</v>
          </cell>
          <cell r="O25">
            <v>0</v>
          </cell>
          <cell r="P25">
            <v>0</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L26">
            <v>0</v>
          </cell>
          <cell r="M26">
            <v>0.50722222222222224</v>
          </cell>
          <cell r="N26">
            <v>23.65826944140197</v>
          </cell>
          <cell r="O26">
            <v>0</v>
          </cell>
          <cell r="P26">
            <v>0</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L27">
            <v>12</v>
          </cell>
          <cell r="M27">
            <v>1.8788888888888891</v>
          </cell>
          <cell r="N27">
            <v>36.777054997043166</v>
          </cell>
          <cell r="O27">
            <v>0</v>
          </cell>
          <cell r="P27">
            <v>0</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L28">
            <v>69.099999999999994</v>
          </cell>
          <cell r="M28">
            <v>3.25</v>
          </cell>
          <cell r="N28">
            <v>36.523076923076921</v>
          </cell>
          <cell r="O28">
            <v>0</v>
          </cell>
          <cell r="P28">
            <v>0</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L29">
            <v>0</v>
          </cell>
          <cell r="M29">
            <v>0.2286111111111111</v>
          </cell>
          <cell r="N29">
            <v>20.121506682867558</v>
          </cell>
          <cell r="O29">
            <v>0</v>
          </cell>
          <cell r="P29">
            <v>0</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L30">
            <v>4.5999999999999996</v>
          </cell>
          <cell r="M30">
            <v>0.46416666666666662</v>
          </cell>
          <cell r="N30">
            <v>41.364452423698388</v>
          </cell>
          <cell r="O30">
            <v>0</v>
          </cell>
          <cell r="P30">
            <v>0</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L31">
            <v>19.2</v>
          </cell>
          <cell r="M31">
            <v>0.29694444444444451</v>
          </cell>
          <cell r="N31">
            <v>102.71281571562206</v>
          </cell>
          <cell r="O31">
            <v>0</v>
          </cell>
          <cell r="P31">
            <v>0</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L32">
            <v>0</v>
          </cell>
          <cell r="M32">
            <v>0.20138888888888878</v>
          </cell>
          <cell r="N32">
            <v>144.00000000000009</v>
          </cell>
          <cell r="O32">
            <v>0</v>
          </cell>
          <cell r="P32">
            <v>0</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L33">
            <v>0</v>
          </cell>
          <cell r="M33">
            <v>0.20527777777777778</v>
          </cell>
          <cell r="N33">
            <v>18.998646820027062</v>
          </cell>
          <cell r="O33">
            <v>0</v>
          </cell>
          <cell r="P33">
            <v>0</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L34">
            <v>3.9</v>
          </cell>
          <cell r="M34">
            <v>0.18944444444444442</v>
          </cell>
          <cell r="N34">
            <v>41.700879765395904</v>
          </cell>
          <cell r="O34">
            <v>0</v>
          </cell>
          <cell r="P34">
            <v>0</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L35">
            <v>0</v>
          </cell>
          <cell r="M35">
            <v>0.27111111111111108</v>
          </cell>
          <cell r="N35">
            <v>20.655737704918035</v>
          </cell>
          <cell r="O35">
            <v>0</v>
          </cell>
          <cell r="P35">
            <v>0</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L36">
            <v>5.6</v>
          </cell>
          <cell r="M36">
            <v>0.24055555555555552</v>
          </cell>
          <cell r="N36">
            <v>76.073903002309478</v>
          </cell>
          <cell r="O36">
            <v>0</v>
          </cell>
          <cell r="P36">
            <v>0</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L37">
            <v>0</v>
          </cell>
          <cell r="M37">
            <v>0.23138888888888889</v>
          </cell>
          <cell r="N37">
            <v>15.558223289315727</v>
          </cell>
          <cell r="O37">
            <v>0</v>
          </cell>
          <cell r="P37">
            <v>0</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L38">
            <v>3.6</v>
          </cell>
          <cell r="M38">
            <v>3.1422222222222227</v>
          </cell>
          <cell r="N38">
            <v>10.820367751060818</v>
          </cell>
          <cell r="O38">
            <v>0</v>
          </cell>
          <cell r="P38">
            <v>0</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L39">
            <v>0</v>
          </cell>
          <cell r="M39">
            <v>2.6202777777777779</v>
          </cell>
          <cell r="N39">
            <v>43.545001590162194</v>
          </cell>
          <cell r="O39">
            <v>0</v>
          </cell>
          <cell r="P39">
            <v>0</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L40">
            <v>0</v>
          </cell>
          <cell r="M40">
            <v>0.47444444444444445</v>
          </cell>
          <cell r="N40">
            <v>33.512880562060893</v>
          </cell>
          <cell r="O40">
            <v>0</v>
          </cell>
          <cell r="P40">
            <v>0</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L41">
            <v>0</v>
          </cell>
          <cell r="M41">
            <v>0.38638888888888889</v>
          </cell>
          <cell r="N41">
            <v>28.468727534148094</v>
          </cell>
          <cell r="O41">
            <v>0</v>
          </cell>
          <cell r="P41">
            <v>0</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L42">
            <v>11</v>
          </cell>
          <cell r="M42">
            <v>0.13916666666666661</v>
          </cell>
          <cell r="N42">
            <v>120.71856287425156</v>
          </cell>
          <cell r="O42">
            <v>0</v>
          </cell>
          <cell r="P42">
            <v>0</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L43">
            <v>16.8</v>
          </cell>
          <cell r="M43">
            <v>0.40416666666666673</v>
          </cell>
          <cell r="N43">
            <v>118.02061855670102</v>
          </cell>
          <cell r="O43">
            <v>0</v>
          </cell>
          <cell r="P43">
            <v>0</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L44">
            <v>0</v>
          </cell>
          <cell r="M44">
            <v>0.25416666666666665</v>
          </cell>
          <cell r="N44">
            <v>44.065573770491802</v>
          </cell>
          <cell r="O44">
            <v>0</v>
          </cell>
          <cell r="P44">
            <v>0</v>
          </cell>
          <cell r="Q44">
            <v>5.1989999999999998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L45">
            <v>0</v>
          </cell>
          <cell r="M45">
            <v>0.25388888888888889</v>
          </cell>
          <cell r="N45">
            <v>44.113785557986866</v>
          </cell>
          <cell r="O45">
            <v>0</v>
          </cell>
          <cell r="P45">
            <v>0</v>
          </cell>
          <cell r="Q45">
            <v>6.1989999999999998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L46">
            <v>11.2</v>
          </cell>
          <cell r="M46">
            <v>1.0794444444444444</v>
          </cell>
          <cell r="N46">
            <v>56.417910447761194</v>
          </cell>
          <cell r="O46">
            <v>0</v>
          </cell>
          <cell r="P46">
            <v>0</v>
          </cell>
          <cell r="Q46">
            <v>7.1989999999999998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L47">
            <v>0</v>
          </cell>
          <cell r="M47">
            <v>0.15833333333333333</v>
          </cell>
          <cell r="N47">
            <v>24.631578947368421</v>
          </cell>
          <cell r="O47">
            <v>0</v>
          </cell>
          <cell r="P47">
            <v>0</v>
          </cell>
          <cell r="Q47">
            <v>8.1989999999999998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L48">
            <v>3.9</v>
          </cell>
          <cell r="M48">
            <v>0.18166666666666664</v>
          </cell>
          <cell r="N48">
            <v>64.954128440366986</v>
          </cell>
          <cell r="O48">
            <v>0</v>
          </cell>
          <cell r="P48">
            <v>0</v>
          </cell>
          <cell r="Q48">
            <v>9.1989999999999998</v>
          </cell>
          <cell r="R48">
            <v>0.375</v>
          </cell>
          <cell r="S48" t="b">
            <v>1</v>
          </cell>
          <cell r="T48">
            <v>7.5694444444444437E-3</v>
          </cell>
          <cell r="U48">
            <v>3.8999999999996362</v>
          </cell>
          <cell r="V48">
            <v>12562.1</v>
          </cell>
          <cell r="W48">
            <v>11.8</v>
          </cell>
          <cell r="X48">
            <v>0</v>
          </cell>
        </row>
        <row r="49">
          <cell r="A49">
            <v>45820.720138888886</v>
          </cell>
          <cell r="C49" t="str">
            <v>Rnc</v>
          </cell>
          <cell r="D49" t="str">
            <v xml:space="preserve">Appointment </v>
          </cell>
          <cell r="E49">
            <v>16.899999999999999</v>
          </cell>
          <cell r="F49">
            <v>2.3275462962962963E-2</v>
          </cell>
          <cell r="G49">
            <v>23.8</v>
          </cell>
          <cell r="H49">
            <v>0.3125</v>
          </cell>
          <cell r="I49">
            <v>12597.8</v>
          </cell>
          <cell r="J49">
            <v>189</v>
          </cell>
        </row>
        <row r="50">
          <cell r="A50">
            <v>45821.381944444445</v>
          </cell>
          <cell r="C50" t="str">
            <v>24/7</v>
          </cell>
          <cell r="D50" t="str">
            <v>Depressed lethargic unable to work</v>
          </cell>
          <cell r="E50">
            <v>11.4</v>
          </cell>
          <cell r="F50">
            <v>6.5162037037037037E-3</v>
          </cell>
          <cell r="G50">
            <v>3.9</v>
          </cell>
          <cell r="H50">
            <v>0.25</v>
          </cell>
          <cell r="I50">
            <v>12601.8</v>
          </cell>
          <cell r="J50">
            <v>181</v>
          </cell>
        </row>
        <row r="51">
          <cell r="A51">
            <v>45821.654166666667</v>
          </cell>
          <cell r="C51" t="str">
            <v>Chevron</v>
          </cell>
          <cell r="D51" t="str">
            <v>My butt hurt got gas at Chevron</v>
          </cell>
          <cell r="E51">
            <v>11.4</v>
          </cell>
          <cell r="F51">
            <v>4.1736111111111113E-2</v>
          </cell>
          <cell r="G51">
            <v>13.8</v>
          </cell>
          <cell r="H51">
            <v>1</v>
          </cell>
          <cell r="I51">
            <v>12615.6</v>
          </cell>
          <cell r="J51">
            <v>598</v>
          </cell>
        </row>
        <row r="52">
          <cell r="A52">
            <v>45821.25</v>
          </cell>
          <cell r="C52" t="str">
            <v>Great clips, smiths</v>
          </cell>
          <cell r="D52" t="str">
            <v>Depressed, despair, lonely</v>
          </cell>
          <cell r="E52">
            <v>19.2</v>
          </cell>
          <cell r="F52">
            <v>4.8125000000000001E-2</v>
          </cell>
          <cell r="G52">
            <v>56.1</v>
          </cell>
          <cell r="H52">
            <v>0.9375</v>
          </cell>
          <cell r="I52">
            <v>12671.7</v>
          </cell>
          <cell r="J52">
            <v>553</v>
          </cell>
        </row>
        <row r="53">
          <cell r="A53">
            <v>45823.289583333331</v>
          </cell>
          <cell r="C53" t="str">
            <v>Chevron</v>
          </cell>
          <cell r="D53" t="str">
            <v>Despair, hopeless</v>
          </cell>
          <cell r="E53">
            <v>18.8</v>
          </cell>
          <cell r="F53">
            <v>1.758101851851852E-2</v>
          </cell>
          <cell r="G53">
            <v>15.9</v>
          </cell>
          <cell r="H53">
            <v>0.875</v>
          </cell>
          <cell r="I53">
            <v>12687.7</v>
          </cell>
          <cell r="J53">
            <v>531</v>
          </cell>
        </row>
        <row r="54">
          <cell r="A54">
            <v>45823.461111111108</v>
          </cell>
          <cell r="C54" t="str">
            <v>Ft Churchill</v>
          </cell>
          <cell r="D54" t="str">
            <v>Coffee wa ranger</v>
          </cell>
          <cell r="E54">
            <v>16.8</v>
          </cell>
          <cell r="F54">
            <v>2.2800925925925926E-2</v>
          </cell>
          <cell r="G54">
            <v>13</v>
          </cell>
          <cell r="H54">
            <v>0.875</v>
          </cell>
          <cell r="I54">
            <v>12700.8</v>
          </cell>
          <cell r="J54">
            <v>512</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91" tableType="queryTable" totalsRowShown="0">
  <autoFilter ref="A1:G91" xr:uid="{C9260F2C-AE4F-6C4C-A467-727A1FC1AFCA}"/>
  <tableColumns count="7">
    <tableColumn id="1" xr3:uid="{100B1B96-B6EA-D44E-9718-AE6672A47599}" uniqueName="1" name="Column1" queryTableFieldId="1" dataDxfId="21"/>
    <tableColumn id="2" xr3:uid="{BA173ABA-9D27-8C43-853A-2D2B42F5F43F}" uniqueName="2" name="Column2" queryTableFieldId="2" dataDxfId="20"/>
    <tableColumn id="3" xr3:uid="{9C1CCE6E-3199-974E-9FDC-FB9872677D75}" uniqueName="3" name="Column3" queryTableFieldId="3"/>
    <tableColumn id="4" xr3:uid="{CE37E3A9-D0F7-7D4B-AC7A-B2F12119D310}" uniqueName="4" name="Column4" queryTableFieldId="4" dataDxfId="19"/>
    <tableColumn id="5" xr3:uid="{F0870B15-898F-0F4A-8B9E-0EEF0C0F5A3A}" uniqueName="5" name="Column5" queryTableFieldId="5" dataDxfId="18"/>
    <tableColumn id="6" xr3:uid="{1337F62A-4780-7E44-A564-E88CED571996}" uniqueName="6" name="Column6" queryTableFieldId="6" dataDxfId="17"/>
    <tableColumn id="7" xr3:uid="{898C298B-D3A9-FD40-815D-3F19F56BC7F8}" uniqueName="7" name="Column7" queryTableFieldId="7" dataDxf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31"/>
    <tableColumn id="2" xr3:uid="{CFD129D2-94D4-C44E-BC91-2EDD36C2256A}" uniqueName="2" name="Column2" queryTableFieldId="2" dataDxfId="3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1" tableType="queryTable" totalsRowShown="0">
  <autoFilter ref="A1:F31" xr:uid="{E309BEE4-674E-DE4D-BDEF-FCB9ADCE5A9C}"/>
  <tableColumns count="6">
    <tableColumn id="1" xr3:uid="{3FE4EDB7-4B9B-E040-A5D7-6156855DB716}" uniqueName="1" name="Category" queryTableFieldId="1" dataDxfId="29"/>
    <tableColumn id="2" xr3:uid="{5E7D0F25-C779-8341-A043-AA41B9341F4C}" uniqueName="2" name=" Monthly Budgeted Amount" queryTableFieldId="2"/>
    <tableColumn id="3" xr3:uid="{E37909B3-770D-2D4C-BA85-EF1CD865A992}" uniqueName="3" name=" Actual Amount Spent" queryTableFieldId="3" dataDxfId="28"/>
    <tableColumn id="4" xr3:uid="{D474447C-1690-C94A-9C78-7275C5284722}" uniqueName="4" name=" Difference" queryTableFieldId="4" dataDxfId="27"/>
    <tableColumn id="6" xr3:uid="{2D394E07-B3DD-0E40-A28E-DB7C82605D3C}" uniqueName="6" name="% contributing towards budget savings/deviation" queryTableFieldId="6" dataDxfId="26">
      <calculatedColumnFormula>monthlyStatus[[#This Row],[ Difference]]/SUM(B2:B19)</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15"/>
    <tableColumn id="2" xr3:uid="{1A31A2B7-7A60-C244-A92B-6E0AAE1297DC}" uniqueName="2" name="Column2" queryTableFieldId="2" dataDxfId="1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33" tableType="queryTable" totalsRowShown="0">
  <autoFilter ref="A1:G33" xr:uid="{11B0F3F0-B591-044E-87F7-BE4FFDA2034B}"/>
  <tableColumns count="7">
    <tableColumn id="1" xr3:uid="{7E87E468-EE88-724B-8F2F-6D8769E73C33}" uniqueName="1" name="ActualSpendingCategory1" queryTableFieldId="1" dataDxfId="25"/>
    <tableColumn id="2" xr3:uid="{24D592F9-E00E-7E46-AD74-41D1DCFC1945}" uniqueName="2" name=" amount" queryTableFieldId="2"/>
    <tableColumn id="3" xr3:uid="{CA3B2D70-B3B7-E646-995F-52934CE39D07}" uniqueName="3" name=" AllowedSpending Category2" queryTableFieldId="3" dataDxfId="24"/>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2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3" tableType="queryTable" totalsRowShown="0">
  <autoFilter ref="A1:B23" xr:uid="{318B13D8-3364-7C49-81CA-83A4008AF46A}"/>
  <tableColumns count="2">
    <tableColumn id="1" xr3:uid="{8CB78CF7-6B10-8F47-A926-0EF95CC1CA66}" uniqueName="1" name="Column1" queryTableFieldId="1" dataDxfId="22"/>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91"/>
  <sheetViews>
    <sheetView workbookViewId="0">
      <selection sqref="A1:G91"/>
    </sheetView>
  </sheetViews>
  <sheetFormatPr baseColWidth="10" defaultRowHeight="16" x14ac:dyDescent="0.2"/>
  <cols>
    <col min="2" max="2" width="48"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45792</v>
      </c>
      <c r="B2" s="41" t="s">
        <v>139</v>
      </c>
      <c r="C2">
        <v>-4</v>
      </c>
      <c r="D2" s="41" t="s">
        <v>206</v>
      </c>
      <c r="E2" s="41" t="s">
        <v>174</v>
      </c>
      <c r="F2" s="41" t="s">
        <v>174</v>
      </c>
      <c r="G2" s="41" t="s">
        <v>104</v>
      </c>
    </row>
    <row r="3" spans="1:7" x14ac:dyDescent="0.2">
      <c r="A3" s="13">
        <v>45792</v>
      </c>
      <c r="B3" s="41" t="s">
        <v>271</v>
      </c>
      <c r="C3">
        <v>-162.83000183105469</v>
      </c>
      <c r="D3" s="41" t="s">
        <v>215</v>
      </c>
      <c r="E3" s="41" t="s">
        <v>174</v>
      </c>
      <c r="F3" s="41" t="s">
        <v>103</v>
      </c>
      <c r="G3" s="41" t="s">
        <v>104</v>
      </c>
    </row>
    <row r="4" spans="1:7" x14ac:dyDescent="0.2">
      <c r="A4" s="13">
        <v>45792</v>
      </c>
      <c r="B4" s="41" t="s">
        <v>272</v>
      </c>
      <c r="C4">
        <v>1681.6500244140625</v>
      </c>
      <c r="D4" s="41" t="s">
        <v>209</v>
      </c>
      <c r="E4" s="41" t="s">
        <v>128</v>
      </c>
      <c r="F4" s="41" t="s">
        <v>174</v>
      </c>
      <c r="G4" s="41" t="s">
        <v>105</v>
      </c>
    </row>
    <row r="5" spans="1:7" x14ac:dyDescent="0.2">
      <c r="A5" s="13">
        <v>45792</v>
      </c>
      <c r="B5" s="41" t="s">
        <v>273</v>
      </c>
      <c r="C5">
        <v>-40</v>
      </c>
      <c r="D5" s="41" t="s">
        <v>235</v>
      </c>
      <c r="E5" s="41" t="s">
        <v>174</v>
      </c>
      <c r="F5" s="41" t="s">
        <v>174</v>
      </c>
      <c r="G5" s="41" t="s">
        <v>104</v>
      </c>
    </row>
    <row r="6" spans="1:7" x14ac:dyDescent="0.2">
      <c r="A6" s="13">
        <v>45792</v>
      </c>
      <c r="B6" s="41" t="s">
        <v>112</v>
      </c>
      <c r="C6">
        <v>-13.840000152587891</v>
      </c>
      <c r="D6" s="41" t="s">
        <v>218</v>
      </c>
      <c r="E6" s="41" t="s">
        <v>174</v>
      </c>
      <c r="F6" s="41" t="s">
        <v>103</v>
      </c>
      <c r="G6" s="41" t="s">
        <v>105</v>
      </c>
    </row>
    <row r="7" spans="1:7" x14ac:dyDescent="0.2">
      <c r="A7" s="13">
        <v>45793</v>
      </c>
      <c r="B7" s="41" t="s">
        <v>274</v>
      </c>
      <c r="C7">
        <v>-1681.6500244140625</v>
      </c>
      <c r="D7" s="41" t="s">
        <v>212</v>
      </c>
      <c r="E7" s="41" t="s">
        <v>128</v>
      </c>
      <c r="F7" s="41" t="s">
        <v>174</v>
      </c>
      <c r="G7" s="41" t="s">
        <v>104</v>
      </c>
    </row>
    <row r="8" spans="1:7" x14ac:dyDescent="0.2">
      <c r="A8" s="13">
        <v>45793</v>
      </c>
      <c r="B8" s="41" t="s">
        <v>323</v>
      </c>
      <c r="C8">
        <v>-3.0799999237060547</v>
      </c>
      <c r="D8" s="41" t="s">
        <v>235</v>
      </c>
      <c r="E8" s="41" t="s">
        <v>174</v>
      </c>
      <c r="F8" s="41" t="s">
        <v>174</v>
      </c>
      <c r="G8" s="41" t="s">
        <v>105</v>
      </c>
    </row>
    <row r="9" spans="1:7" x14ac:dyDescent="0.2">
      <c r="A9" s="13">
        <v>45793</v>
      </c>
      <c r="B9" s="41" t="s">
        <v>234</v>
      </c>
      <c r="C9">
        <v>-18.219999313354492</v>
      </c>
      <c r="D9" s="41" t="s">
        <v>226</v>
      </c>
      <c r="E9" s="41" t="s">
        <v>174</v>
      </c>
      <c r="F9" s="41" t="s">
        <v>174</v>
      </c>
      <c r="G9" s="41" t="s">
        <v>104</v>
      </c>
    </row>
    <row r="10" spans="1:7" x14ac:dyDescent="0.2">
      <c r="A10" s="13">
        <v>45796</v>
      </c>
      <c r="B10" s="41" t="s">
        <v>240</v>
      </c>
      <c r="C10">
        <v>617.6500244140625</v>
      </c>
      <c r="D10" s="41" t="s">
        <v>213</v>
      </c>
      <c r="E10" s="41" t="s">
        <v>174</v>
      </c>
      <c r="F10" s="41" t="s">
        <v>174</v>
      </c>
      <c r="G10" s="41" t="s">
        <v>104</v>
      </c>
    </row>
    <row r="11" spans="1:7" x14ac:dyDescent="0.2">
      <c r="A11" s="13">
        <v>45797</v>
      </c>
      <c r="B11" s="41" t="s">
        <v>324</v>
      </c>
      <c r="C11">
        <v>-185</v>
      </c>
      <c r="D11" s="41" t="s">
        <v>221</v>
      </c>
      <c r="E11" s="41" t="s">
        <v>174</v>
      </c>
      <c r="F11" s="41" t="s">
        <v>174</v>
      </c>
      <c r="G11" s="41" t="s">
        <v>104</v>
      </c>
    </row>
    <row r="12" spans="1:7" x14ac:dyDescent="0.2">
      <c r="A12" s="13">
        <v>45797</v>
      </c>
      <c r="B12" s="41" t="s">
        <v>325</v>
      </c>
      <c r="C12">
        <v>-4.9899997711181641</v>
      </c>
      <c r="D12" s="41" t="s">
        <v>211</v>
      </c>
      <c r="E12" s="41" t="s">
        <v>174</v>
      </c>
      <c r="F12" s="41" t="s">
        <v>174</v>
      </c>
      <c r="G12" s="41" t="s">
        <v>105</v>
      </c>
    </row>
    <row r="13" spans="1:7" x14ac:dyDescent="0.2">
      <c r="A13" s="13">
        <v>45798</v>
      </c>
      <c r="B13" s="41" t="s">
        <v>326</v>
      </c>
      <c r="C13">
        <v>-11.789999961853027</v>
      </c>
      <c r="D13" s="41" t="s">
        <v>235</v>
      </c>
      <c r="E13" s="41" t="s">
        <v>174</v>
      </c>
      <c r="F13" s="41" t="s">
        <v>174</v>
      </c>
      <c r="G13" s="41" t="s">
        <v>104</v>
      </c>
    </row>
    <row r="14" spans="1:7" x14ac:dyDescent="0.2">
      <c r="A14" s="13">
        <v>45799</v>
      </c>
      <c r="B14" s="41" t="s">
        <v>116</v>
      </c>
      <c r="C14">
        <v>-10.989999771118164</v>
      </c>
      <c r="D14" s="41" t="s">
        <v>211</v>
      </c>
      <c r="E14" s="41" t="s">
        <v>174</v>
      </c>
      <c r="F14" s="41" t="s">
        <v>103</v>
      </c>
      <c r="G14" s="41" t="s">
        <v>105</v>
      </c>
    </row>
    <row r="15" spans="1:7" x14ac:dyDescent="0.2">
      <c r="A15" s="13">
        <v>45799</v>
      </c>
      <c r="B15" s="41" t="s">
        <v>336</v>
      </c>
      <c r="C15">
        <v>-101.95999908447266</v>
      </c>
      <c r="D15" s="41" t="s">
        <v>337</v>
      </c>
      <c r="E15" s="41" t="s">
        <v>174</v>
      </c>
      <c r="F15" s="41" t="s">
        <v>174</v>
      </c>
      <c r="G15" s="41" t="s">
        <v>105</v>
      </c>
    </row>
    <row r="16" spans="1:7" x14ac:dyDescent="0.2">
      <c r="A16" s="13">
        <v>45799</v>
      </c>
      <c r="B16" s="41" t="s">
        <v>327</v>
      </c>
      <c r="C16">
        <v>-6.5300002098083496</v>
      </c>
      <c r="D16" s="41" t="s">
        <v>205</v>
      </c>
      <c r="E16" s="41" t="s">
        <v>174</v>
      </c>
      <c r="F16" s="41" t="s">
        <v>174</v>
      </c>
      <c r="G16" s="41" t="s">
        <v>104</v>
      </c>
    </row>
    <row r="17" spans="1:7" x14ac:dyDescent="0.2">
      <c r="A17" s="13">
        <v>45799</v>
      </c>
      <c r="B17" s="41" t="s">
        <v>273</v>
      </c>
      <c r="C17">
        <v>-40</v>
      </c>
      <c r="D17" s="41" t="s">
        <v>235</v>
      </c>
      <c r="E17" s="41" t="s">
        <v>174</v>
      </c>
      <c r="F17" s="41" t="s">
        <v>174</v>
      </c>
      <c r="G17" s="41" t="s">
        <v>104</v>
      </c>
    </row>
    <row r="18" spans="1:7" x14ac:dyDescent="0.2">
      <c r="A18" s="13">
        <v>45800</v>
      </c>
      <c r="B18" s="41" t="s">
        <v>138</v>
      </c>
      <c r="C18">
        <v>-84.510002136230469</v>
      </c>
      <c r="D18" s="41" t="s">
        <v>206</v>
      </c>
      <c r="E18" s="41" t="s">
        <v>174</v>
      </c>
      <c r="F18" s="41" t="s">
        <v>174</v>
      </c>
      <c r="G18" s="41" t="s">
        <v>104</v>
      </c>
    </row>
    <row r="19" spans="1:7" x14ac:dyDescent="0.2">
      <c r="A19" s="13">
        <v>45800</v>
      </c>
      <c r="B19" s="41" t="s">
        <v>138</v>
      </c>
      <c r="C19">
        <v>-3.8900001049041748</v>
      </c>
      <c r="D19" s="41" t="s">
        <v>206</v>
      </c>
      <c r="E19" s="41" t="s">
        <v>174</v>
      </c>
      <c r="F19" s="41" t="s">
        <v>174</v>
      </c>
      <c r="G19" s="41" t="s">
        <v>104</v>
      </c>
    </row>
    <row r="20" spans="1:7" x14ac:dyDescent="0.2">
      <c r="A20" s="13">
        <v>45800</v>
      </c>
      <c r="B20" s="41" t="s">
        <v>338</v>
      </c>
      <c r="C20">
        <v>-10.829999923706055</v>
      </c>
      <c r="D20" s="41" t="s">
        <v>216</v>
      </c>
      <c r="E20" s="41" t="s">
        <v>174</v>
      </c>
      <c r="F20" s="41" t="s">
        <v>174</v>
      </c>
      <c r="G20" s="41" t="s">
        <v>104</v>
      </c>
    </row>
    <row r="21" spans="1:7" x14ac:dyDescent="0.2">
      <c r="A21" s="13">
        <v>45801</v>
      </c>
      <c r="B21" s="41" t="s">
        <v>323</v>
      </c>
      <c r="C21">
        <v>-0.72000002861022949</v>
      </c>
      <c r="D21" s="41" t="s">
        <v>235</v>
      </c>
      <c r="E21" s="41" t="s">
        <v>174</v>
      </c>
      <c r="F21" s="41" t="s">
        <v>174</v>
      </c>
      <c r="G21" s="41" t="s">
        <v>105</v>
      </c>
    </row>
    <row r="22" spans="1:7" x14ac:dyDescent="0.2">
      <c r="A22" s="13">
        <v>45803</v>
      </c>
      <c r="B22" s="41" t="s">
        <v>359</v>
      </c>
      <c r="C22">
        <v>-81.980003356933594</v>
      </c>
      <c r="D22" s="41" t="s">
        <v>205</v>
      </c>
      <c r="E22" s="41" t="s">
        <v>174</v>
      </c>
      <c r="F22" s="41" t="s">
        <v>174</v>
      </c>
      <c r="G22" s="41" t="s">
        <v>105</v>
      </c>
    </row>
    <row r="23" spans="1:7" x14ac:dyDescent="0.2">
      <c r="A23" s="13">
        <v>45804</v>
      </c>
      <c r="B23" s="41" t="s">
        <v>240</v>
      </c>
      <c r="C23">
        <v>720.6099853515625</v>
      </c>
      <c r="D23" s="41" t="s">
        <v>213</v>
      </c>
      <c r="E23" s="41" t="s">
        <v>174</v>
      </c>
      <c r="F23" s="41" t="s">
        <v>174</v>
      </c>
      <c r="G23" s="41" t="s">
        <v>104</v>
      </c>
    </row>
    <row r="24" spans="1:7" x14ac:dyDescent="0.2">
      <c r="A24" s="13">
        <v>45804</v>
      </c>
      <c r="B24" s="41" t="s">
        <v>116</v>
      </c>
      <c r="C24">
        <v>-2.9900000095367432</v>
      </c>
      <c r="D24" s="41" t="s">
        <v>211</v>
      </c>
      <c r="E24" s="41" t="s">
        <v>174</v>
      </c>
      <c r="F24" s="41" t="s">
        <v>103</v>
      </c>
      <c r="G24" s="41" t="s">
        <v>105</v>
      </c>
    </row>
    <row r="25" spans="1:7" x14ac:dyDescent="0.2">
      <c r="A25" s="13">
        <v>45804</v>
      </c>
      <c r="B25" s="41" t="s">
        <v>138</v>
      </c>
      <c r="C25">
        <v>-37.509998321533203</v>
      </c>
      <c r="D25" s="41" t="s">
        <v>206</v>
      </c>
      <c r="E25" s="41" t="s">
        <v>174</v>
      </c>
      <c r="F25" s="41" t="s">
        <v>174</v>
      </c>
      <c r="G25" s="41" t="s">
        <v>104</v>
      </c>
    </row>
    <row r="26" spans="1:7" x14ac:dyDescent="0.2">
      <c r="A26" s="13">
        <v>45804</v>
      </c>
      <c r="B26" s="41" t="s">
        <v>138</v>
      </c>
      <c r="C26">
        <v>-26.899999618530273</v>
      </c>
      <c r="D26" s="41" t="s">
        <v>206</v>
      </c>
      <c r="E26" s="41" t="s">
        <v>174</v>
      </c>
      <c r="F26" s="41" t="s">
        <v>174</v>
      </c>
      <c r="G26" s="41" t="s">
        <v>104</v>
      </c>
    </row>
    <row r="27" spans="1:7" x14ac:dyDescent="0.2">
      <c r="A27" s="13">
        <v>45804</v>
      </c>
      <c r="B27" s="41" t="s">
        <v>138</v>
      </c>
      <c r="C27">
        <v>-11.270000457763672</v>
      </c>
      <c r="D27" s="41" t="s">
        <v>206</v>
      </c>
      <c r="E27" s="41" t="s">
        <v>174</v>
      </c>
      <c r="F27" s="41" t="s">
        <v>174</v>
      </c>
      <c r="G27" s="41" t="s">
        <v>104</v>
      </c>
    </row>
    <row r="28" spans="1:7" x14ac:dyDescent="0.2">
      <c r="A28" s="13">
        <v>45804</v>
      </c>
      <c r="B28" s="41" t="s">
        <v>138</v>
      </c>
      <c r="C28">
        <v>-7.8899998664855957</v>
      </c>
      <c r="D28" s="41" t="s">
        <v>206</v>
      </c>
      <c r="E28" s="41" t="s">
        <v>174</v>
      </c>
      <c r="F28" s="41" t="s">
        <v>174</v>
      </c>
      <c r="G28" s="41" t="s">
        <v>104</v>
      </c>
    </row>
    <row r="29" spans="1:7" x14ac:dyDescent="0.2">
      <c r="A29" s="13">
        <v>45804</v>
      </c>
      <c r="B29" s="41" t="s">
        <v>129</v>
      </c>
      <c r="C29">
        <v>-10</v>
      </c>
      <c r="D29" s="41" t="s">
        <v>229</v>
      </c>
      <c r="E29" s="41" t="s">
        <v>174</v>
      </c>
      <c r="F29" s="41" t="s">
        <v>174</v>
      </c>
      <c r="G29" s="41" t="s">
        <v>105</v>
      </c>
    </row>
    <row r="30" spans="1:7" x14ac:dyDescent="0.2">
      <c r="A30" s="13">
        <v>45804</v>
      </c>
      <c r="B30" s="41" t="s">
        <v>129</v>
      </c>
      <c r="C30">
        <v>10</v>
      </c>
      <c r="D30" s="41" t="s">
        <v>229</v>
      </c>
      <c r="E30" s="41" t="s">
        <v>174</v>
      </c>
      <c r="F30" s="41" t="s">
        <v>174</v>
      </c>
      <c r="G30" s="41" t="s">
        <v>105</v>
      </c>
    </row>
    <row r="31" spans="1:7" x14ac:dyDescent="0.2">
      <c r="A31" s="13">
        <v>45804</v>
      </c>
      <c r="B31" s="41" t="s">
        <v>323</v>
      </c>
      <c r="C31">
        <v>-40</v>
      </c>
      <c r="D31" s="41" t="s">
        <v>235</v>
      </c>
      <c r="E31" s="41" t="s">
        <v>174</v>
      </c>
      <c r="F31" s="41" t="s">
        <v>174</v>
      </c>
      <c r="G31" s="41" t="s">
        <v>105</v>
      </c>
    </row>
    <row r="32" spans="1:7" x14ac:dyDescent="0.2">
      <c r="A32" s="13">
        <v>45804</v>
      </c>
      <c r="B32" s="41" t="s">
        <v>360</v>
      </c>
      <c r="C32">
        <v>-22.090000152587891</v>
      </c>
      <c r="D32" s="41" t="s">
        <v>206</v>
      </c>
      <c r="E32" s="41" t="s">
        <v>174</v>
      </c>
      <c r="F32" s="41" t="s">
        <v>174</v>
      </c>
      <c r="G32" s="41" t="s">
        <v>104</v>
      </c>
    </row>
    <row r="33" spans="1:7" x14ac:dyDescent="0.2">
      <c r="A33" s="13">
        <v>45804</v>
      </c>
      <c r="B33" s="41" t="s">
        <v>361</v>
      </c>
      <c r="C33">
        <v>-5.9200000762939453</v>
      </c>
      <c r="D33" s="41" t="s">
        <v>226</v>
      </c>
      <c r="E33" s="41" t="s">
        <v>174</v>
      </c>
      <c r="F33" s="41" t="s">
        <v>174</v>
      </c>
      <c r="G33" s="41" t="s">
        <v>104</v>
      </c>
    </row>
    <row r="34" spans="1:7" x14ac:dyDescent="0.2">
      <c r="A34" s="13">
        <v>45804</v>
      </c>
      <c r="B34" s="41" t="s">
        <v>130</v>
      </c>
      <c r="C34">
        <v>-124</v>
      </c>
      <c r="D34" s="41" t="s">
        <v>230</v>
      </c>
      <c r="E34" s="41" t="s">
        <v>174</v>
      </c>
      <c r="F34" s="41" t="s">
        <v>103</v>
      </c>
      <c r="G34" s="41" t="s">
        <v>105</v>
      </c>
    </row>
    <row r="35" spans="1:7" x14ac:dyDescent="0.2">
      <c r="A35" s="13">
        <v>45804</v>
      </c>
      <c r="B35" s="41" t="s">
        <v>231</v>
      </c>
      <c r="C35">
        <v>-50</v>
      </c>
      <c r="D35" s="41" t="s">
        <v>230</v>
      </c>
      <c r="E35" s="41" t="s">
        <v>174</v>
      </c>
      <c r="F35" s="41" t="s">
        <v>103</v>
      </c>
      <c r="G35" s="41" t="s">
        <v>105</v>
      </c>
    </row>
    <row r="36" spans="1:7" x14ac:dyDescent="0.2">
      <c r="A36" s="13">
        <v>45805</v>
      </c>
      <c r="B36" s="41" t="s">
        <v>362</v>
      </c>
      <c r="C36">
        <v>-42.830001831054688</v>
      </c>
      <c r="D36" s="41" t="s">
        <v>208</v>
      </c>
      <c r="E36" s="41" t="s">
        <v>174</v>
      </c>
      <c r="F36" s="41" t="s">
        <v>174</v>
      </c>
      <c r="G36" s="41" t="s">
        <v>105</v>
      </c>
    </row>
    <row r="37" spans="1:7" x14ac:dyDescent="0.2">
      <c r="A37" s="13">
        <v>45805</v>
      </c>
      <c r="B37" s="41" t="s">
        <v>363</v>
      </c>
      <c r="C37">
        <v>-24.629999160766602</v>
      </c>
      <c r="D37" s="41" t="s">
        <v>216</v>
      </c>
      <c r="E37" s="41" t="s">
        <v>174</v>
      </c>
      <c r="F37" s="41" t="s">
        <v>174</v>
      </c>
      <c r="G37" s="41" t="s">
        <v>104</v>
      </c>
    </row>
    <row r="38" spans="1:7" x14ac:dyDescent="0.2">
      <c r="A38" s="13">
        <v>45805</v>
      </c>
      <c r="B38" s="41" t="s">
        <v>138</v>
      </c>
      <c r="C38">
        <v>-25.530000686645508</v>
      </c>
      <c r="D38" s="41" t="s">
        <v>206</v>
      </c>
      <c r="E38" s="41" t="s">
        <v>174</v>
      </c>
      <c r="F38" s="41" t="s">
        <v>174</v>
      </c>
      <c r="G38" s="41" t="s">
        <v>104</v>
      </c>
    </row>
    <row r="39" spans="1:7" x14ac:dyDescent="0.2">
      <c r="A39" s="13">
        <v>45805</v>
      </c>
      <c r="B39" s="41" t="s">
        <v>138</v>
      </c>
      <c r="C39">
        <v>-2.2899999618530273</v>
      </c>
      <c r="D39" s="41" t="s">
        <v>206</v>
      </c>
      <c r="E39" s="41" t="s">
        <v>174</v>
      </c>
      <c r="F39" s="41" t="s">
        <v>174</v>
      </c>
      <c r="G39" s="41" t="s">
        <v>104</v>
      </c>
    </row>
    <row r="40" spans="1:7" x14ac:dyDescent="0.2">
      <c r="A40" s="13">
        <v>45805</v>
      </c>
      <c r="B40" s="41" t="s">
        <v>254</v>
      </c>
      <c r="C40">
        <v>-12.760000228881836</v>
      </c>
      <c r="D40" s="41" t="s">
        <v>206</v>
      </c>
      <c r="E40" s="41" t="s">
        <v>174</v>
      </c>
      <c r="F40" s="41" t="s">
        <v>174</v>
      </c>
      <c r="G40" s="41" t="s">
        <v>104</v>
      </c>
    </row>
    <row r="41" spans="1:7" x14ac:dyDescent="0.2">
      <c r="A41" s="13">
        <v>45805</v>
      </c>
      <c r="B41" s="41" t="s">
        <v>336</v>
      </c>
      <c r="C41">
        <v>98.529998779296875</v>
      </c>
      <c r="D41" s="41" t="s">
        <v>337</v>
      </c>
      <c r="E41" s="41" t="s">
        <v>174</v>
      </c>
      <c r="F41" s="41" t="s">
        <v>174</v>
      </c>
      <c r="G41" s="41" t="s">
        <v>105</v>
      </c>
    </row>
    <row r="42" spans="1:7" x14ac:dyDescent="0.2">
      <c r="A42" s="13">
        <v>45805</v>
      </c>
      <c r="B42" s="41" t="s">
        <v>129</v>
      </c>
      <c r="C42">
        <v>-12</v>
      </c>
      <c r="D42" s="41" t="s">
        <v>229</v>
      </c>
      <c r="E42" s="41" t="s">
        <v>174</v>
      </c>
      <c r="F42" s="41" t="s">
        <v>174</v>
      </c>
      <c r="G42" s="41" t="s">
        <v>105</v>
      </c>
    </row>
    <row r="43" spans="1:7" x14ac:dyDescent="0.2">
      <c r="A43" s="13">
        <v>45805</v>
      </c>
      <c r="B43" s="41" t="s">
        <v>129</v>
      </c>
      <c r="C43">
        <v>12</v>
      </c>
      <c r="D43" s="41" t="s">
        <v>229</v>
      </c>
      <c r="E43" s="41" t="s">
        <v>174</v>
      </c>
      <c r="F43" s="41" t="s">
        <v>174</v>
      </c>
      <c r="G43" s="41" t="s">
        <v>105</v>
      </c>
    </row>
    <row r="44" spans="1:7" x14ac:dyDescent="0.2">
      <c r="A44" s="13">
        <v>45805</v>
      </c>
      <c r="B44" s="41" t="s">
        <v>364</v>
      </c>
      <c r="C44">
        <v>-515</v>
      </c>
      <c r="D44" s="41" t="s">
        <v>223</v>
      </c>
      <c r="E44" s="41" t="s">
        <v>174</v>
      </c>
      <c r="F44" s="41" t="s">
        <v>174</v>
      </c>
      <c r="G44" s="41" t="s">
        <v>105</v>
      </c>
    </row>
    <row r="45" spans="1:7" x14ac:dyDescent="0.2">
      <c r="A45" s="13">
        <v>45805</v>
      </c>
      <c r="B45" s="41" t="s">
        <v>365</v>
      </c>
      <c r="C45">
        <v>-73.330001831054688</v>
      </c>
      <c r="D45" s="41" t="s">
        <v>235</v>
      </c>
      <c r="E45" s="41" t="s">
        <v>174</v>
      </c>
      <c r="F45" s="41" t="s">
        <v>174</v>
      </c>
      <c r="G45" s="41" t="s">
        <v>105</v>
      </c>
    </row>
    <row r="46" spans="1:7" x14ac:dyDescent="0.2">
      <c r="A46" s="13">
        <v>45805</v>
      </c>
      <c r="B46" s="41" t="s">
        <v>366</v>
      </c>
      <c r="C46">
        <v>-441.8800048828125</v>
      </c>
      <c r="D46" s="41" t="s">
        <v>217</v>
      </c>
      <c r="E46" s="41" t="s">
        <v>174</v>
      </c>
      <c r="F46" s="41" t="s">
        <v>174</v>
      </c>
      <c r="G46" s="41" t="s">
        <v>104</v>
      </c>
    </row>
    <row r="47" spans="1:7" x14ac:dyDescent="0.2">
      <c r="A47" s="13">
        <v>45805</v>
      </c>
      <c r="B47" s="41" t="s">
        <v>228</v>
      </c>
      <c r="C47">
        <v>-59.459999084472656</v>
      </c>
      <c r="D47" s="41" t="s">
        <v>216</v>
      </c>
      <c r="E47" s="41" t="s">
        <v>174</v>
      </c>
      <c r="F47" s="41" t="s">
        <v>174</v>
      </c>
      <c r="G47" s="41" t="s">
        <v>104</v>
      </c>
    </row>
    <row r="48" spans="1:7" x14ac:dyDescent="0.2">
      <c r="A48" s="13">
        <v>45806</v>
      </c>
      <c r="B48" s="41" t="s">
        <v>367</v>
      </c>
      <c r="C48">
        <v>-14.989999771118164</v>
      </c>
      <c r="D48" s="41" t="s">
        <v>211</v>
      </c>
      <c r="E48" s="41" t="s">
        <v>174</v>
      </c>
      <c r="F48" s="41" t="s">
        <v>174</v>
      </c>
      <c r="G48" s="41" t="s">
        <v>105</v>
      </c>
    </row>
    <row r="49" spans="1:7" x14ac:dyDescent="0.2">
      <c r="A49" s="13">
        <v>45806</v>
      </c>
      <c r="B49" s="41" t="s">
        <v>368</v>
      </c>
      <c r="C49">
        <v>15.159999847412109</v>
      </c>
      <c r="D49" s="41" t="s">
        <v>213</v>
      </c>
      <c r="E49" s="41" t="s">
        <v>174</v>
      </c>
      <c r="F49" s="41" t="s">
        <v>174</v>
      </c>
      <c r="G49" s="41" t="s">
        <v>104</v>
      </c>
    </row>
    <row r="50" spans="1:7" x14ac:dyDescent="0.2">
      <c r="A50" s="13">
        <v>45807</v>
      </c>
      <c r="B50" s="41" t="s">
        <v>240</v>
      </c>
      <c r="C50">
        <v>617.6500244140625</v>
      </c>
      <c r="D50" s="41" t="s">
        <v>213</v>
      </c>
      <c r="E50" s="41" t="s">
        <v>174</v>
      </c>
      <c r="F50" s="41" t="s">
        <v>174</v>
      </c>
      <c r="G50" s="41" t="s">
        <v>104</v>
      </c>
    </row>
    <row r="51" spans="1:7" x14ac:dyDescent="0.2">
      <c r="A51" s="13">
        <v>45807</v>
      </c>
      <c r="B51" s="41" t="s">
        <v>369</v>
      </c>
      <c r="C51">
        <v>-16.479999542236328</v>
      </c>
      <c r="D51" s="41" t="s">
        <v>226</v>
      </c>
      <c r="E51" s="41" t="s">
        <v>174</v>
      </c>
      <c r="F51" s="41" t="s">
        <v>174</v>
      </c>
      <c r="G51" s="41" t="s">
        <v>105</v>
      </c>
    </row>
    <row r="52" spans="1:7" x14ac:dyDescent="0.2">
      <c r="A52" s="13">
        <v>45808</v>
      </c>
      <c r="B52" s="41" t="s">
        <v>127</v>
      </c>
      <c r="C52">
        <v>15.979999542236328</v>
      </c>
      <c r="D52" s="41" t="s">
        <v>213</v>
      </c>
      <c r="E52" s="41" t="s">
        <v>174</v>
      </c>
      <c r="F52" s="41" t="s">
        <v>174</v>
      </c>
      <c r="G52" s="41" t="s">
        <v>104</v>
      </c>
    </row>
    <row r="53" spans="1:7" x14ac:dyDescent="0.2">
      <c r="A53" s="13">
        <v>45809</v>
      </c>
      <c r="B53" s="41" t="s">
        <v>116</v>
      </c>
      <c r="C53">
        <v>-9.9899997711181641</v>
      </c>
      <c r="D53" s="41" t="s">
        <v>211</v>
      </c>
      <c r="E53" s="41" t="s">
        <v>174</v>
      </c>
      <c r="F53" s="41" t="s">
        <v>103</v>
      </c>
      <c r="G53" s="41" t="s">
        <v>105</v>
      </c>
    </row>
    <row r="54" spans="1:7" x14ac:dyDescent="0.2">
      <c r="A54" s="13">
        <v>45810</v>
      </c>
      <c r="B54" s="41" t="s">
        <v>373</v>
      </c>
      <c r="C54">
        <v>3.5</v>
      </c>
      <c r="D54" s="41" t="s">
        <v>126</v>
      </c>
      <c r="E54" s="41" t="s">
        <v>174</v>
      </c>
      <c r="F54" s="41" t="s">
        <v>174</v>
      </c>
      <c r="G54" s="41" t="s">
        <v>104</v>
      </c>
    </row>
    <row r="55" spans="1:7" x14ac:dyDescent="0.2">
      <c r="A55" s="13">
        <v>45810</v>
      </c>
      <c r="B55" s="41" t="s">
        <v>370</v>
      </c>
      <c r="C55">
        <v>-2.3599998950958252</v>
      </c>
      <c r="D55" s="41" t="s">
        <v>238</v>
      </c>
      <c r="E55" s="41" t="s">
        <v>174</v>
      </c>
      <c r="F55" s="41" t="s">
        <v>174</v>
      </c>
      <c r="G55" s="41" t="s">
        <v>105</v>
      </c>
    </row>
    <row r="56" spans="1:7" x14ac:dyDescent="0.2">
      <c r="A56" s="13">
        <v>45810</v>
      </c>
      <c r="B56" s="41" t="s">
        <v>371</v>
      </c>
      <c r="C56">
        <v>-5.0999999046325684</v>
      </c>
      <c r="D56" s="41" t="s">
        <v>226</v>
      </c>
      <c r="E56" s="41" t="s">
        <v>174</v>
      </c>
      <c r="F56" s="41" t="s">
        <v>174</v>
      </c>
      <c r="G56" s="41" t="s">
        <v>105</v>
      </c>
    </row>
    <row r="57" spans="1:7" x14ac:dyDescent="0.2">
      <c r="A57" s="13">
        <v>45810</v>
      </c>
      <c r="B57" s="41" t="s">
        <v>371</v>
      </c>
      <c r="C57">
        <v>-3.1500000953674316</v>
      </c>
      <c r="D57" s="41" t="s">
        <v>226</v>
      </c>
      <c r="E57" s="41" t="s">
        <v>174</v>
      </c>
      <c r="F57" s="41" t="s">
        <v>174</v>
      </c>
      <c r="G57" s="41" t="s">
        <v>105</v>
      </c>
    </row>
    <row r="58" spans="1:7" x14ac:dyDescent="0.2">
      <c r="A58" s="13">
        <v>45810</v>
      </c>
      <c r="B58" s="41" t="s">
        <v>374</v>
      </c>
      <c r="C58">
        <v>-74.790000915527344</v>
      </c>
      <c r="D58" s="41" t="s">
        <v>233</v>
      </c>
      <c r="E58" s="41" t="s">
        <v>174</v>
      </c>
      <c r="F58" s="41" t="s">
        <v>103</v>
      </c>
      <c r="G58" s="41" t="s">
        <v>104</v>
      </c>
    </row>
    <row r="59" spans="1:7" x14ac:dyDescent="0.2">
      <c r="A59" s="13">
        <v>45810</v>
      </c>
      <c r="B59" s="41" t="s">
        <v>372</v>
      </c>
      <c r="C59">
        <v>-59.090000152587891</v>
      </c>
      <c r="D59" s="41" t="s">
        <v>219</v>
      </c>
      <c r="E59" s="41" t="s">
        <v>174</v>
      </c>
      <c r="F59" s="41" t="s">
        <v>174</v>
      </c>
      <c r="G59" s="41" t="s">
        <v>105</v>
      </c>
    </row>
    <row r="60" spans="1:7" x14ac:dyDescent="0.2">
      <c r="A60" s="13">
        <v>45811</v>
      </c>
      <c r="B60" s="41" t="s">
        <v>375</v>
      </c>
      <c r="C60">
        <v>-5.5900001525878906</v>
      </c>
      <c r="D60" s="41" t="s">
        <v>232</v>
      </c>
      <c r="E60" s="41" t="s">
        <v>174</v>
      </c>
      <c r="F60" s="41" t="s">
        <v>103</v>
      </c>
      <c r="G60" s="41" t="s">
        <v>104</v>
      </c>
    </row>
    <row r="61" spans="1:7" x14ac:dyDescent="0.2">
      <c r="A61" s="13">
        <v>45811</v>
      </c>
      <c r="B61" s="41" t="s">
        <v>376</v>
      </c>
      <c r="C61">
        <v>-13.920000076293945</v>
      </c>
      <c r="D61" s="41" t="s">
        <v>226</v>
      </c>
      <c r="E61" s="41" t="s">
        <v>174</v>
      </c>
      <c r="F61" s="41" t="s">
        <v>174</v>
      </c>
      <c r="G61" s="41" t="s">
        <v>104</v>
      </c>
    </row>
    <row r="62" spans="1:7" x14ac:dyDescent="0.2">
      <c r="A62" s="13">
        <v>45811</v>
      </c>
      <c r="B62" s="41" t="s">
        <v>377</v>
      </c>
      <c r="C62">
        <v>-359.22000122070312</v>
      </c>
      <c r="D62" s="41" t="s">
        <v>218</v>
      </c>
      <c r="E62" s="41" t="s">
        <v>174</v>
      </c>
      <c r="F62" s="41" t="s">
        <v>174</v>
      </c>
      <c r="G62" s="41" t="s">
        <v>104</v>
      </c>
    </row>
    <row r="63" spans="1:7" x14ac:dyDescent="0.2">
      <c r="A63" s="13">
        <v>45811</v>
      </c>
      <c r="B63" s="41" t="s">
        <v>224</v>
      </c>
      <c r="C63">
        <v>-40</v>
      </c>
      <c r="D63" s="41" t="s">
        <v>225</v>
      </c>
      <c r="E63" s="41" t="s">
        <v>174</v>
      </c>
      <c r="F63" s="41" t="s">
        <v>174</v>
      </c>
      <c r="G63" s="41" t="s">
        <v>105</v>
      </c>
    </row>
    <row r="64" spans="1:7" x14ac:dyDescent="0.2">
      <c r="A64" s="13">
        <v>45812</v>
      </c>
      <c r="B64" s="41" t="s">
        <v>139</v>
      </c>
      <c r="C64">
        <v>-3.3900001049041748</v>
      </c>
      <c r="D64" s="41" t="s">
        <v>206</v>
      </c>
      <c r="E64" s="41" t="s">
        <v>174</v>
      </c>
      <c r="F64" s="41" t="s">
        <v>174</v>
      </c>
      <c r="G64" s="41" t="s">
        <v>104</v>
      </c>
    </row>
    <row r="65" spans="1:7" x14ac:dyDescent="0.2">
      <c r="A65" s="13">
        <v>45812</v>
      </c>
      <c r="B65" s="41" t="s">
        <v>138</v>
      </c>
      <c r="C65">
        <v>-121.73999786376953</v>
      </c>
      <c r="D65" s="41" t="s">
        <v>206</v>
      </c>
      <c r="E65" s="41" t="s">
        <v>174</v>
      </c>
      <c r="F65" s="41" t="s">
        <v>174</v>
      </c>
      <c r="G65" s="41" t="s">
        <v>104</v>
      </c>
    </row>
    <row r="66" spans="1:7" x14ac:dyDescent="0.2">
      <c r="A66" s="13">
        <v>45813</v>
      </c>
      <c r="B66" s="41" t="s">
        <v>378</v>
      </c>
      <c r="C66">
        <v>-3.0899999141693115</v>
      </c>
      <c r="D66" s="41" t="s">
        <v>206</v>
      </c>
      <c r="E66" s="41" t="s">
        <v>174</v>
      </c>
      <c r="F66" s="41" t="s">
        <v>174</v>
      </c>
      <c r="G66" s="41" t="s">
        <v>104</v>
      </c>
    </row>
    <row r="67" spans="1:7" x14ac:dyDescent="0.2">
      <c r="A67" s="13">
        <v>45813</v>
      </c>
      <c r="B67" s="41" t="s">
        <v>139</v>
      </c>
      <c r="C67">
        <v>-3.4900000095367432</v>
      </c>
      <c r="D67" s="41" t="s">
        <v>206</v>
      </c>
      <c r="E67" s="41" t="s">
        <v>174</v>
      </c>
      <c r="F67" s="41" t="s">
        <v>174</v>
      </c>
      <c r="G67" s="41" t="s">
        <v>104</v>
      </c>
    </row>
    <row r="68" spans="1:7" x14ac:dyDescent="0.2">
      <c r="A68" s="13">
        <v>45813</v>
      </c>
      <c r="B68" s="41" t="s">
        <v>116</v>
      </c>
      <c r="C68">
        <v>-18.989999771118164</v>
      </c>
      <c r="D68" s="41" t="s">
        <v>211</v>
      </c>
      <c r="E68" s="41" t="s">
        <v>174</v>
      </c>
      <c r="F68" s="41" t="s">
        <v>103</v>
      </c>
      <c r="G68" s="41" t="s">
        <v>105</v>
      </c>
    </row>
    <row r="69" spans="1:7" x14ac:dyDescent="0.2">
      <c r="A69" s="13">
        <v>45813</v>
      </c>
      <c r="B69" s="41" t="s">
        <v>273</v>
      </c>
      <c r="C69">
        <v>-40</v>
      </c>
      <c r="D69" s="41" t="s">
        <v>235</v>
      </c>
      <c r="E69" s="41" t="s">
        <v>174</v>
      </c>
      <c r="F69" s="41" t="s">
        <v>174</v>
      </c>
      <c r="G69" s="41" t="s">
        <v>104</v>
      </c>
    </row>
    <row r="70" spans="1:7" x14ac:dyDescent="0.2">
      <c r="A70" s="13">
        <v>45814</v>
      </c>
      <c r="B70" s="41" t="s">
        <v>139</v>
      </c>
      <c r="C70">
        <v>-3.4900000095367432</v>
      </c>
      <c r="D70" s="41" t="s">
        <v>206</v>
      </c>
      <c r="E70" s="41" t="s">
        <v>174</v>
      </c>
      <c r="F70" s="41" t="s">
        <v>174</v>
      </c>
      <c r="G70" s="41" t="s">
        <v>104</v>
      </c>
    </row>
    <row r="71" spans="1:7" x14ac:dyDescent="0.2">
      <c r="A71" s="13">
        <v>45815</v>
      </c>
      <c r="B71" s="41" t="s">
        <v>379</v>
      </c>
      <c r="C71">
        <v>-12</v>
      </c>
      <c r="D71" s="41" t="s">
        <v>205</v>
      </c>
      <c r="E71" s="41" t="s">
        <v>174</v>
      </c>
      <c r="F71" s="41" t="s">
        <v>174</v>
      </c>
      <c r="G71" s="41" t="s">
        <v>104</v>
      </c>
    </row>
    <row r="72" spans="1:7" x14ac:dyDescent="0.2">
      <c r="A72" s="13">
        <v>45815</v>
      </c>
      <c r="B72" s="41" t="s">
        <v>380</v>
      </c>
      <c r="C72">
        <v>-10</v>
      </c>
      <c r="D72" s="41" t="s">
        <v>226</v>
      </c>
      <c r="E72" s="41" t="s">
        <v>174</v>
      </c>
      <c r="F72" s="41" t="s">
        <v>174</v>
      </c>
      <c r="G72" s="41" t="s">
        <v>105</v>
      </c>
    </row>
    <row r="73" spans="1:7" x14ac:dyDescent="0.2">
      <c r="A73" s="13">
        <v>45815</v>
      </c>
      <c r="B73" s="41" t="s">
        <v>380</v>
      </c>
      <c r="C73">
        <v>-5</v>
      </c>
      <c r="D73" s="41" t="s">
        <v>226</v>
      </c>
      <c r="E73" s="41" t="s">
        <v>174</v>
      </c>
      <c r="F73" s="41" t="s">
        <v>174</v>
      </c>
      <c r="G73" s="41" t="s">
        <v>105</v>
      </c>
    </row>
    <row r="74" spans="1:7" x14ac:dyDescent="0.2">
      <c r="A74" s="13">
        <v>45815</v>
      </c>
      <c r="B74" s="41" t="s">
        <v>381</v>
      </c>
      <c r="C74">
        <v>-205.47999572753906</v>
      </c>
      <c r="D74" s="41" t="s">
        <v>205</v>
      </c>
      <c r="E74" s="41" t="s">
        <v>174</v>
      </c>
      <c r="F74" s="41" t="s">
        <v>174</v>
      </c>
      <c r="G74" s="41" t="s">
        <v>104</v>
      </c>
    </row>
    <row r="75" spans="1:7" x14ac:dyDescent="0.2">
      <c r="A75" s="13">
        <v>45816</v>
      </c>
      <c r="B75" s="41" t="s">
        <v>382</v>
      </c>
      <c r="C75">
        <v>-20.030000686645508</v>
      </c>
      <c r="D75" s="41" t="s">
        <v>211</v>
      </c>
      <c r="E75" s="41" t="s">
        <v>174</v>
      </c>
      <c r="F75" s="41" t="s">
        <v>174</v>
      </c>
      <c r="G75" s="41" t="s">
        <v>105</v>
      </c>
    </row>
    <row r="76" spans="1:7" x14ac:dyDescent="0.2">
      <c r="A76" s="13">
        <v>45816</v>
      </c>
      <c r="B76" s="41" t="s">
        <v>383</v>
      </c>
      <c r="C76">
        <v>-5</v>
      </c>
      <c r="D76" s="41" t="s">
        <v>211</v>
      </c>
      <c r="E76" s="41" t="s">
        <v>174</v>
      </c>
      <c r="F76" s="41" t="s">
        <v>174</v>
      </c>
      <c r="G76" s="41" t="s">
        <v>105</v>
      </c>
    </row>
    <row r="77" spans="1:7" x14ac:dyDescent="0.2">
      <c r="A77" s="13">
        <v>45817</v>
      </c>
      <c r="B77" s="41" t="s">
        <v>139</v>
      </c>
      <c r="C77">
        <v>-4.2800002098083496</v>
      </c>
      <c r="D77" s="41" t="s">
        <v>206</v>
      </c>
      <c r="E77" s="41" t="s">
        <v>174</v>
      </c>
      <c r="F77" s="41" t="s">
        <v>174</v>
      </c>
      <c r="G77" s="41" t="s">
        <v>104</v>
      </c>
    </row>
    <row r="78" spans="1:7" x14ac:dyDescent="0.2">
      <c r="A78" s="13">
        <v>45817</v>
      </c>
      <c r="B78" s="41" t="s">
        <v>384</v>
      </c>
      <c r="C78">
        <v>-3.2400000095367432</v>
      </c>
      <c r="D78" s="41" t="s">
        <v>205</v>
      </c>
      <c r="E78" s="41" t="s">
        <v>174</v>
      </c>
      <c r="F78" s="41" t="s">
        <v>174</v>
      </c>
      <c r="G78" s="41" t="s">
        <v>104</v>
      </c>
    </row>
    <row r="79" spans="1:7" x14ac:dyDescent="0.2">
      <c r="A79" s="13">
        <v>45817</v>
      </c>
      <c r="B79" s="41" t="s">
        <v>385</v>
      </c>
      <c r="C79">
        <v>-300</v>
      </c>
      <c r="D79" s="41" t="s">
        <v>216</v>
      </c>
      <c r="E79" s="41" t="s">
        <v>174</v>
      </c>
      <c r="F79" s="41" t="s">
        <v>174</v>
      </c>
      <c r="G79" s="41" t="s">
        <v>104</v>
      </c>
    </row>
    <row r="80" spans="1:7" x14ac:dyDescent="0.2">
      <c r="A80" s="13">
        <v>45817</v>
      </c>
      <c r="B80" s="41" t="s">
        <v>386</v>
      </c>
      <c r="C80">
        <v>-474.6400146484375</v>
      </c>
      <c r="D80" s="41" t="s">
        <v>223</v>
      </c>
      <c r="E80" s="41" t="s">
        <v>174</v>
      </c>
      <c r="F80" s="41" t="s">
        <v>174</v>
      </c>
      <c r="G80" s="41" t="s">
        <v>104</v>
      </c>
    </row>
    <row r="81" spans="1:7" x14ac:dyDescent="0.2">
      <c r="A81" s="13">
        <v>45818</v>
      </c>
      <c r="B81" s="41" t="s">
        <v>133</v>
      </c>
      <c r="C81">
        <v>-2.5899999141693115</v>
      </c>
      <c r="D81" s="41" t="s">
        <v>206</v>
      </c>
      <c r="E81" s="41" t="s">
        <v>174</v>
      </c>
      <c r="F81" s="41" t="s">
        <v>174</v>
      </c>
      <c r="G81" s="41" t="s">
        <v>105</v>
      </c>
    </row>
    <row r="82" spans="1:7" x14ac:dyDescent="0.2">
      <c r="A82" s="13">
        <v>45818</v>
      </c>
      <c r="B82" s="41" t="s">
        <v>387</v>
      </c>
      <c r="C82">
        <v>-14.979999542236328</v>
      </c>
      <c r="D82" s="41" t="s">
        <v>211</v>
      </c>
      <c r="E82" s="41" t="s">
        <v>174</v>
      </c>
      <c r="F82" s="41" t="s">
        <v>174</v>
      </c>
      <c r="G82" s="41" t="s">
        <v>105</v>
      </c>
    </row>
    <row r="83" spans="1:7" x14ac:dyDescent="0.2">
      <c r="A83" s="13">
        <v>45818</v>
      </c>
      <c r="B83" s="41" t="s">
        <v>388</v>
      </c>
      <c r="C83">
        <v>-441.8800048828125</v>
      </c>
      <c r="D83" s="41" t="s">
        <v>217</v>
      </c>
      <c r="E83" s="41" t="s">
        <v>174</v>
      </c>
      <c r="F83" s="41" t="s">
        <v>174</v>
      </c>
      <c r="G83" s="41" t="s">
        <v>104</v>
      </c>
    </row>
    <row r="84" spans="1:7" x14ac:dyDescent="0.2">
      <c r="A84" s="13">
        <v>45819</v>
      </c>
      <c r="B84" s="41" t="s">
        <v>137</v>
      </c>
      <c r="C84">
        <v>-5.880000114440918</v>
      </c>
      <c r="D84" s="41" t="s">
        <v>206</v>
      </c>
      <c r="E84" s="41" t="s">
        <v>174</v>
      </c>
      <c r="F84" s="41" t="s">
        <v>174</v>
      </c>
      <c r="G84" s="41" t="s">
        <v>105</v>
      </c>
    </row>
    <row r="85" spans="1:7" x14ac:dyDescent="0.2">
      <c r="A85" s="13">
        <v>45819</v>
      </c>
      <c r="B85" s="41" t="s">
        <v>272</v>
      </c>
      <c r="C85">
        <v>1182.3599853515625</v>
      </c>
      <c r="D85" s="41" t="s">
        <v>209</v>
      </c>
      <c r="E85" s="41" t="s">
        <v>128</v>
      </c>
      <c r="F85" s="41" t="s">
        <v>174</v>
      </c>
      <c r="G85" s="41" t="s">
        <v>105</v>
      </c>
    </row>
    <row r="86" spans="1:7" x14ac:dyDescent="0.2">
      <c r="A86" s="13">
        <v>45820</v>
      </c>
      <c r="B86" s="41" t="s">
        <v>389</v>
      </c>
      <c r="C86">
        <v>-1182.3599853515625</v>
      </c>
      <c r="D86" s="41" t="s">
        <v>212</v>
      </c>
      <c r="E86" s="41" t="s">
        <v>128</v>
      </c>
      <c r="F86" s="41" t="s">
        <v>174</v>
      </c>
      <c r="G86" s="41" t="s">
        <v>104</v>
      </c>
    </row>
    <row r="87" spans="1:7" x14ac:dyDescent="0.2">
      <c r="A87" s="13">
        <v>45820</v>
      </c>
      <c r="B87" s="41" t="s">
        <v>390</v>
      </c>
      <c r="C87">
        <v>2877.22998046875</v>
      </c>
      <c r="D87" s="41" t="s">
        <v>213</v>
      </c>
      <c r="E87" s="41" t="s">
        <v>174</v>
      </c>
      <c r="F87" s="41" t="s">
        <v>174</v>
      </c>
      <c r="G87" s="41" t="s">
        <v>104</v>
      </c>
    </row>
    <row r="88" spans="1:7" x14ac:dyDescent="0.2">
      <c r="A88" s="13">
        <v>45821</v>
      </c>
      <c r="B88" s="41" t="s">
        <v>391</v>
      </c>
      <c r="C88">
        <v>-12.5</v>
      </c>
      <c r="D88" s="41" t="s">
        <v>211</v>
      </c>
      <c r="E88" s="41" t="s">
        <v>174</v>
      </c>
      <c r="F88" s="41" t="s">
        <v>103</v>
      </c>
      <c r="G88" s="41" t="s">
        <v>105</v>
      </c>
    </row>
    <row r="89" spans="1:7" x14ac:dyDescent="0.2">
      <c r="A89" s="13">
        <v>45821</v>
      </c>
      <c r="B89" s="41" t="s">
        <v>392</v>
      </c>
      <c r="C89">
        <v>-77.720001220703125</v>
      </c>
      <c r="D89" s="41" t="s">
        <v>205</v>
      </c>
      <c r="E89" s="41" t="s">
        <v>174</v>
      </c>
      <c r="F89" s="41" t="s">
        <v>103</v>
      </c>
      <c r="G89" s="41" t="s">
        <v>104</v>
      </c>
    </row>
    <row r="90" spans="1:7" x14ac:dyDescent="0.2">
      <c r="A90" s="13">
        <v>45821</v>
      </c>
      <c r="B90" s="41" t="s">
        <v>393</v>
      </c>
      <c r="C90">
        <v>-2.9900000095367432</v>
      </c>
      <c r="D90" s="41" t="s">
        <v>206</v>
      </c>
      <c r="E90" s="41" t="s">
        <v>174</v>
      </c>
      <c r="F90" s="41" t="s">
        <v>174</v>
      </c>
      <c r="G90" s="41" t="s">
        <v>104</v>
      </c>
    </row>
    <row r="91" spans="1:7" x14ac:dyDescent="0.2">
      <c r="A91" s="13">
        <v>45822</v>
      </c>
      <c r="B91" s="41" t="s">
        <v>394</v>
      </c>
      <c r="C91">
        <v>-27</v>
      </c>
      <c r="D91" s="41" t="s">
        <v>395</v>
      </c>
      <c r="E91" s="41" t="s">
        <v>174</v>
      </c>
      <c r="F91" s="41" t="s">
        <v>174</v>
      </c>
      <c r="G91" s="41" t="s">
        <v>104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zoomScale="120" zoomScaleNormal="120" workbookViewId="0">
      <pane ySplit="1" topLeftCell="A6" activePane="bottomLeft" state="frozen"/>
      <selection pane="bottomLeft" activeCell="A35" sqref="A3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s="42" t="s">
        <v>167</v>
      </c>
      <c r="B1" s="43" t="s">
        <v>168</v>
      </c>
      <c r="C1" s="43" t="s">
        <v>169</v>
      </c>
      <c r="D1" s="43" t="s">
        <v>170</v>
      </c>
      <c r="E1" s="43" t="s">
        <v>171</v>
      </c>
      <c r="F1" s="43" t="s">
        <v>172</v>
      </c>
      <c r="G1" s="46" t="s">
        <v>173</v>
      </c>
      <c r="H1" s="1" t="s">
        <v>7</v>
      </c>
      <c r="I1" t="s">
        <v>97</v>
      </c>
      <c r="J1" t="s">
        <v>8</v>
      </c>
      <c r="K1" t="s">
        <v>9</v>
      </c>
      <c r="L1" t="s">
        <v>87</v>
      </c>
      <c r="M1" t="s">
        <v>90</v>
      </c>
      <c r="N1" t="s">
        <v>91</v>
      </c>
      <c r="O1" t="s">
        <v>10</v>
      </c>
      <c r="P1" t="s">
        <v>96</v>
      </c>
      <c r="Q1" t="s">
        <v>11</v>
      </c>
      <c r="R1" t="s">
        <v>50</v>
      </c>
      <c r="S1" t="s">
        <v>51</v>
      </c>
      <c r="T1" t="s">
        <v>13</v>
      </c>
      <c r="U1" t="s">
        <v>14</v>
      </c>
      <c r="V1" t="s">
        <v>48</v>
      </c>
      <c r="W1" t="s">
        <v>432</v>
      </c>
      <c r="X1" s="4" t="s">
        <v>12</v>
      </c>
      <c r="Y1" t="s">
        <v>11</v>
      </c>
      <c r="AA1" t="s">
        <v>52</v>
      </c>
      <c r="AB1" s="3">
        <v>44562</v>
      </c>
      <c r="AD1" t="s">
        <v>48</v>
      </c>
    </row>
    <row r="2" spans="1:31" x14ac:dyDescent="0.2">
      <c r="A2" s="47">
        <v>45792</v>
      </c>
      <c r="B2" s="48" t="s">
        <v>139</v>
      </c>
      <c r="C2" s="44">
        <v>-4</v>
      </c>
      <c r="D2" s="48" t="s">
        <v>206</v>
      </c>
      <c r="E2" s="48" t="s">
        <v>174</v>
      </c>
      <c r="F2" s="48" t="s">
        <v>174</v>
      </c>
      <c r="G2" s="49" t="s">
        <v>104</v>
      </c>
      <c r="H2" s="7"/>
      <c r="I2" s="9">
        <f t="shared" ref="I2:I33" si="0">IF(EXACT(F2,"M"),C2,0)</f>
        <v>0</v>
      </c>
      <c r="J2" s="9">
        <f t="shared" ref="J2:J33" si="1">IF(EXACT(G2,"CheckingStarOneTXs"),C2,0)</f>
        <v>-4</v>
      </c>
      <c r="K2" s="9">
        <f t="shared" ref="K2:K33" si="2">IF(AND(C2&lt;0,EXACT(G2,"VisaChaseTXs")),C2,0)</f>
        <v>0</v>
      </c>
      <c r="L2" s="8">
        <f t="shared" ref="L2:L33" si="3">IF(AND(AND(F2="",C2&lt;0),E2=""),C2,0)</f>
        <v>-4</v>
      </c>
      <c r="M2" s="8">
        <f t="shared" ref="M2:M33" si="4">IF(F2="T",C2,0)</f>
        <v>0</v>
      </c>
      <c r="N2" s="8">
        <f t="shared" ref="N2:N33" si="5">IF(D2="Transfer Savings",C2,0)</f>
        <v>0</v>
      </c>
      <c r="P2" s="8">
        <f t="shared" ref="P2:P33" si="6">IF(AND(IF(C2&lt;0,C2,FALSE),E2&lt;&gt;"y"),C2,0)</f>
        <v>-4</v>
      </c>
      <c r="Q2" s="8">
        <f>P2</f>
        <v>-4</v>
      </c>
      <c r="R2" s="8">
        <f t="shared" ref="R2:R33" si="7">IF(ISBLANK(A2),"",ABS($AB$1-(A2+10)))</f>
        <v>1240</v>
      </c>
      <c r="S2" s="8">
        <f>IF(ISBLANK(A2),"",ABS($AB$2-(A2+$AA$5)))</f>
        <v>1052</v>
      </c>
      <c r="T2" s="8">
        <f>Q2</f>
        <v>-4</v>
      </c>
      <c r="U2" s="9">
        <f>IF(S2="","",ABS(T2))</f>
        <v>4</v>
      </c>
      <c r="V2" s="9">
        <f>IF(C2&gt;0,C2,0)</f>
        <v>0</v>
      </c>
      <c r="W2" s="9">
        <f>V2</f>
        <v>0</v>
      </c>
      <c r="X2" s="12">
        <f>S2-1</f>
        <v>1051</v>
      </c>
      <c r="Y2" s="9">
        <v>0</v>
      </c>
      <c r="AA2" t="s">
        <v>16</v>
      </c>
      <c r="AB2" s="13">
        <v>44741</v>
      </c>
      <c r="AC2">
        <f>S2-1</f>
        <v>1051</v>
      </c>
      <c r="AD2">
        <v>0</v>
      </c>
    </row>
    <row r="3" spans="1:31" x14ac:dyDescent="0.2">
      <c r="A3" s="50">
        <v>45792</v>
      </c>
      <c r="B3" s="51" t="s">
        <v>271</v>
      </c>
      <c r="C3" s="45">
        <v>-162.83000183105469</v>
      </c>
      <c r="D3" s="51" t="s">
        <v>215</v>
      </c>
      <c r="E3" s="51" t="s">
        <v>174</v>
      </c>
      <c r="F3" s="51" t="s">
        <v>103</v>
      </c>
      <c r="G3" s="52" t="s">
        <v>104</v>
      </c>
      <c r="H3" s="7"/>
      <c r="I3" s="9">
        <f t="shared" si="0"/>
        <v>-162.83000183105469</v>
      </c>
      <c r="J3" s="9">
        <f t="shared" si="1"/>
        <v>-162.83000183105469</v>
      </c>
      <c r="K3" s="9">
        <f t="shared" si="2"/>
        <v>0</v>
      </c>
      <c r="L3" s="8">
        <f t="shared" si="3"/>
        <v>0</v>
      </c>
      <c r="M3" s="8">
        <f t="shared" si="4"/>
        <v>0</v>
      </c>
      <c r="N3" s="8">
        <f t="shared" si="5"/>
        <v>0</v>
      </c>
      <c r="P3" s="8">
        <f t="shared" si="6"/>
        <v>-162.83000183105469</v>
      </c>
      <c r="Q3" s="8">
        <f t="shared" ref="Q3:Q36" si="8">P3</f>
        <v>-162.83000183105469</v>
      </c>
      <c r="R3" s="8">
        <f t="shared" si="7"/>
        <v>1240</v>
      </c>
      <c r="S3" s="8">
        <f t="shared" ref="S3:S66" si="9">IF(ISBLANK(A3),"",ABS($AB$2-(A3+$AA$5)))</f>
        <v>1052</v>
      </c>
      <c r="T3" s="8">
        <f>T2+Q3</f>
        <v>-166.83000183105469</v>
      </c>
      <c r="U3" s="9">
        <f t="shared" ref="U3:U66" si="10">IF(S3="","",ABS(T3))</f>
        <v>166.83000183105469</v>
      </c>
      <c r="V3" s="9">
        <f t="shared" ref="V3:V66" si="11">IF(C3&gt;0,C3,0)</f>
        <v>0</v>
      </c>
      <c r="W3" s="9">
        <f>W2+V3</f>
        <v>0</v>
      </c>
      <c r="X3" s="12">
        <f>X2+30.41</f>
        <v>1081.4100000000001</v>
      </c>
      <c r="Y3" s="12">
        <f>I179</f>
        <v>0</v>
      </c>
      <c r="AC3">
        <f>AC2+30.4</f>
        <v>1081.4000000000001</v>
      </c>
      <c r="AD3">
        <f>SUM(AE4:AF4)</f>
        <v>7852.3200225830078</v>
      </c>
      <c r="AE3" t="s">
        <v>180</v>
      </c>
    </row>
    <row r="4" spans="1:31" x14ac:dyDescent="0.2">
      <c r="A4" s="47">
        <v>45792</v>
      </c>
      <c r="B4" s="48" t="s">
        <v>272</v>
      </c>
      <c r="C4" s="44">
        <v>1681.6500244140625</v>
      </c>
      <c r="D4" s="48" t="s">
        <v>209</v>
      </c>
      <c r="E4" s="48" t="s">
        <v>128</v>
      </c>
      <c r="F4" s="48" t="s">
        <v>174</v>
      </c>
      <c r="G4" s="49" t="s">
        <v>105</v>
      </c>
      <c r="H4" s="7"/>
      <c r="I4" s="9">
        <f t="shared" si="0"/>
        <v>0</v>
      </c>
      <c r="J4" s="9">
        <f t="shared" si="1"/>
        <v>0</v>
      </c>
      <c r="K4" s="9">
        <f t="shared" si="2"/>
        <v>0</v>
      </c>
      <c r="L4" s="8">
        <f t="shared" si="3"/>
        <v>0</v>
      </c>
      <c r="M4" s="8">
        <f t="shared" si="4"/>
        <v>0</v>
      </c>
      <c r="N4" s="8">
        <f t="shared" si="5"/>
        <v>0</v>
      </c>
      <c r="P4" s="8">
        <f t="shared" si="6"/>
        <v>0</v>
      </c>
      <c r="Q4" s="8">
        <f t="shared" si="8"/>
        <v>0</v>
      </c>
      <c r="R4" s="8">
        <f t="shared" si="7"/>
        <v>1240</v>
      </c>
      <c r="S4" s="8">
        <f t="shared" si="9"/>
        <v>1052</v>
      </c>
      <c r="T4" s="8">
        <f t="shared" ref="T3:T36" si="12">T3+Q4</f>
        <v>-166.83000183105469</v>
      </c>
      <c r="U4" s="9">
        <f t="shared" si="10"/>
        <v>166.83000183105469</v>
      </c>
      <c r="V4" s="9">
        <f t="shared" si="11"/>
        <v>1681.6500244140625</v>
      </c>
      <c r="W4" s="9">
        <f t="shared" ref="W4:W67" si="13">W3+V4</f>
        <v>1681.6500244140625</v>
      </c>
      <c r="AA4" t="s">
        <v>98</v>
      </c>
      <c r="AE4">
        <f>SUM($V$1:$V$200)</f>
        <v>7852.3200225830078</v>
      </c>
    </row>
    <row r="5" spans="1:31" x14ac:dyDescent="0.2">
      <c r="A5" s="50">
        <v>45792</v>
      </c>
      <c r="B5" s="51" t="s">
        <v>273</v>
      </c>
      <c r="C5" s="45">
        <v>-40</v>
      </c>
      <c r="D5" s="51" t="s">
        <v>235</v>
      </c>
      <c r="E5" s="51" t="s">
        <v>174</v>
      </c>
      <c r="F5" s="51" t="s">
        <v>174</v>
      </c>
      <c r="G5" s="52" t="s">
        <v>104</v>
      </c>
      <c r="H5" s="7"/>
      <c r="I5" s="9">
        <f t="shared" si="0"/>
        <v>0</v>
      </c>
      <c r="J5" s="9">
        <f t="shared" si="1"/>
        <v>-40</v>
      </c>
      <c r="K5" s="9">
        <f t="shared" si="2"/>
        <v>0</v>
      </c>
      <c r="L5" s="8">
        <f t="shared" si="3"/>
        <v>-40</v>
      </c>
      <c r="M5" s="8">
        <f t="shared" si="4"/>
        <v>0</v>
      </c>
      <c r="N5" s="8">
        <f t="shared" si="5"/>
        <v>0</v>
      </c>
      <c r="P5" s="8">
        <f t="shared" si="6"/>
        <v>-40</v>
      </c>
      <c r="Q5" s="8">
        <f t="shared" si="8"/>
        <v>-40</v>
      </c>
      <c r="R5" s="8">
        <f t="shared" si="7"/>
        <v>1240</v>
      </c>
      <c r="S5" s="8">
        <f t="shared" si="9"/>
        <v>1052</v>
      </c>
      <c r="T5" s="8">
        <f t="shared" si="12"/>
        <v>-206.83000183105469</v>
      </c>
      <c r="U5" s="9">
        <f t="shared" si="10"/>
        <v>206.83000183105469</v>
      </c>
      <c r="V5" s="9">
        <f t="shared" si="11"/>
        <v>0</v>
      </c>
      <c r="W5" s="9">
        <f t="shared" si="13"/>
        <v>1681.6500244140625</v>
      </c>
      <c r="AA5">
        <v>1</v>
      </c>
    </row>
    <row r="6" spans="1:31" x14ac:dyDescent="0.2">
      <c r="A6" s="47">
        <v>45792</v>
      </c>
      <c r="B6" s="48" t="s">
        <v>112</v>
      </c>
      <c r="C6" s="44">
        <v>-13.840000152587891</v>
      </c>
      <c r="D6" s="48" t="s">
        <v>218</v>
      </c>
      <c r="E6" s="48" t="s">
        <v>174</v>
      </c>
      <c r="F6" s="48" t="s">
        <v>103</v>
      </c>
      <c r="G6" s="49" t="s">
        <v>105</v>
      </c>
      <c r="H6" s="7"/>
      <c r="I6" s="9">
        <f t="shared" si="0"/>
        <v>-13.840000152587891</v>
      </c>
      <c r="J6" s="9">
        <f t="shared" si="1"/>
        <v>0</v>
      </c>
      <c r="K6" s="9">
        <f t="shared" si="2"/>
        <v>-13.840000152587891</v>
      </c>
      <c r="L6" s="8">
        <f t="shared" si="3"/>
        <v>0</v>
      </c>
      <c r="M6" s="8">
        <f t="shared" si="4"/>
        <v>0</v>
      </c>
      <c r="N6" s="8">
        <f t="shared" si="5"/>
        <v>0</v>
      </c>
      <c r="P6" s="8">
        <f t="shared" si="6"/>
        <v>-13.840000152587891</v>
      </c>
      <c r="Q6" s="8">
        <f t="shared" si="8"/>
        <v>-13.840000152587891</v>
      </c>
      <c r="R6" s="8">
        <f t="shared" si="7"/>
        <v>1240</v>
      </c>
      <c r="S6" s="8">
        <f t="shared" si="9"/>
        <v>1052</v>
      </c>
      <c r="T6" s="8">
        <f t="shared" si="12"/>
        <v>-220.67000198364258</v>
      </c>
      <c r="U6" s="9">
        <f t="shared" si="10"/>
        <v>220.67000198364258</v>
      </c>
      <c r="V6" s="9">
        <f t="shared" si="11"/>
        <v>0</v>
      </c>
      <c r="W6" s="9">
        <f t="shared" si="13"/>
        <v>1681.6500244140625</v>
      </c>
    </row>
    <row r="7" spans="1:31" x14ac:dyDescent="0.2">
      <c r="A7" s="50">
        <v>45793</v>
      </c>
      <c r="B7" s="51" t="s">
        <v>274</v>
      </c>
      <c r="C7" s="45">
        <v>-1681.6500244140625</v>
      </c>
      <c r="D7" s="51" t="s">
        <v>212</v>
      </c>
      <c r="E7" s="51" t="s">
        <v>128</v>
      </c>
      <c r="F7" s="51" t="s">
        <v>174</v>
      </c>
      <c r="G7" s="52" t="s">
        <v>104</v>
      </c>
      <c r="H7" s="7"/>
      <c r="I7" s="9">
        <f t="shared" si="0"/>
        <v>0</v>
      </c>
      <c r="J7" s="9">
        <f t="shared" si="1"/>
        <v>-1681.6500244140625</v>
      </c>
      <c r="K7" s="9">
        <f t="shared" si="2"/>
        <v>0</v>
      </c>
      <c r="L7" s="8">
        <f t="shared" si="3"/>
        <v>0</v>
      </c>
      <c r="M7" s="8">
        <f t="shared" si="4"/>
        <v>0</v>
      </c>
      <c r="N7" s="8">
        <f t="shared" si="5"/>
        <v>0</v>
      </c>
      <c r="P7" s="8">
        <f t="shared" si="6"/>
        <v>0</v>
      </c>
      <c r="Q7" s="8">
        <f t="shared" si="8"/>
        <v>0</v>
      </c>
      <c r="R7" s="8">
        <f t="shared" si="7"/>
        <v>1241</v>
      </c>
      <c r="S7" s="8">
        <f t="shared" si="9"/>
        <v>1053</v>
      </c>
      <c r="T7" s="8">
        <f t="shared" si="12"/>
        <v>-220.67000198364258</v>
      </c>
      <c r="U7" s="9">
        <f t="shared" si="10"/>
        <v>220.67000198364258</v>
      </c>
      <c r="V7" s="9">
        <f t="shared" si="11"/>
        <v>0</v>
      </c>
      <c r="W7" s="9">
        <f t="shared" si="13"/>
        <v>1681.6500244140625</v>
      </c>
    </row>
    <row r="8" spans="1:31" x14ac:dyDescent="0.2">
      <c r="A8" s="47">
        <v>45793</v>
      </c>
      <c r="B8" s="48" t="s">
        <v>323</v>
      </c>
      <c r="C8" s="44">
        <v>-3.0799999237060547</v>
      </c>
      <c r="D8" s="48" t="s">
        <v>235</v>
      </c>
      <c r="E8" s="48" t="s">
        <v>174</v>
      </c>
      <c r="F8" s="48" t="s">
        <v>174</v>
      </c>
      <c r="G8" s="49" t="s">
        <v>105</v>
      </c>
      <c r="H8" s="7"/>
      <c r="I8" s="9">
        <f t="shared" si="0"/>
        <v>0</v>
      </c>
      <c r="J8" s="9">
        <f t="shared" si="1"/>
        <v>0</v>
      </c>
      <c r="K8" s="9">
        <f t="shared" si="2"/>
        <v>-3.0799999237060547</v>
      </c>
      <c r="L8" s="8">
        <f t="shared" si="3"/>
        <v>-3.0799999237060547</v>
      </c>
      <c r="M8" s="8">
        <f t="shared" si="4"/>
        <v>0</v>
      </c>
      <c r="N8" s="8">
        <f t="shared" si="5"/>
        <v>0</v>
      </c>
      <c r="P8" s="8">
        <f t="shared" si="6"/>
        <v>-3.0799999237060547</v>
      </c>
      <c r="Q8" s="8">
        <f t="shared" si="8"/>
        <v>-3.0799999237060547</v>
      </c>
      <c r="R8" s="8">
        <f t="shared" si="7"/>
        <v>1241</v>
      </c>
      <c r="S8" s="8">
        <f t="shared" si="9"/>
        <v>1053</v>
      </c>
      <c r="T8" s="8">
        <f t="shared" si="12"/>
        <v>-223.75000190734863</v>
      </c>
      <c r="U8" s="9">
        <f t="shared" si="10"/>
        <v>223.75000190734863</v>
      </c>
      <c r="V8" s="9">
        <f t="shared" si="11"/>
        <v>0</v>
      </c>
      <c r="W8" s="9">
        <f t="shared" si="13"/>
        <v>1681.6500244140625</v>
      </c>
    </row>
    <row r="9" spans="1:31" x14ac:dyDescent="0.2">
      <c r="A9" s="50">
        <v>45793</v>
      </c>
      <c r="B9" s="51" t="s">
        <v>234</v>
      </c>
      <c r="C9" s="45">
        <v>-18.219999313354492</v>
      </c>
      <c r="D9" s="51" t="s">
        <v>226</v>
      </c>
      <c r="E9" s="51" t="s">
        <v>174</v>
      </c>
      <c r="F9" s="51" t="s">
        <v>174</v>
      </c>
      <c r="G9" s="52" t="s">
        <v>104</v>
      </c>
      <c r="H9" s="7"/>
      <c r="I9" s="9">
        <f t="shared" si="0"/>
        <v>0</v>
      </c>
      <c r="J9" s="9">
        <f t="shared" si="1"/>
        <v>-18.219999313354492</v>
      </c>
      <c r="K9" s="9">
        <f t="shared" si="2"/>
        <v>0</v>
      </c>
      <c r="L9" s="8">
        <f t="shared" si="3"/>
        <v>-18.219999313354492</v>
      </c>
      <c r="M9" s="8">
        <f t="shared" si="4"/>
        <v>0</v>
      </c>
      <c r="N9" s="8">
        <f t="shared" si="5"/>
        <v>0</v>
      </c>
      <c r="P9" s="8">
        <f t="shared" si="6"/>
        <v>-18.219999313354492</v>
      </c>
      <c r="Q9" s="8">
        <f t="shared" si="8"/>
        <v>-18.219999313354492</v>
      </c>
      <c r="R9" s="8">
        <f t="shared" si="7"/>
        <v>1241</v>
      </c>
      <c r="S9" s="8">
        <f t="shared" si="9"/>
        <v>1053</v>
      </c>
      <c r="T9" s="8">
        <f t="shared" si="12"/>
        <v>-241.97000122070312</v>
      </c>
      <c r="U9" s="9">
        <f t="shared" si="10"/>
        <v>241.97000122070312</v>
      </c>
      <c r="V9" s="9">
        <f t="shared" si="11"/>
        <v>0</v>
      </c>
      <c r="W9" s="9">
        <f t="shared" si="13"/>
        <v>1681.6500244140625</v>
      </c>
    </row>
    <row r="10" spans="1:31" x14ac:dyDescent="0.2">
      <c r="A10" s="47">
        <v>45796</v>
      </c>
      <c r="B10" s="48" t="s">
        <v>240</v>
      </c>
      <c r="C10" s="44">
        <v>617.6500244140625</v>
      </c>
      <c r="D10" s="48" t="s">
        <v>213</v>
      </c>
      <c r="E10" s="48" t="s">
        <v>174</v>
      </c>
      <c r="F10" s="48" t="s">
        <v>174</v>
      </c>
      <c r="G10" s="49" t="s">
        <v>104</v>
      </c>
      <c r="H10" s="7"/>
      <c r="I10" s="9">
        <f t="shared" si="0"/>
        <v>0</v>
      </c>
      <c r="J10" s="9">
        <f t="shared" si="1"/>
        <v>617.6500244140625</v>
      </c>
      <c r="K10" s="9">
        <f t="shared" si="2"/>
        <v>0</v>
      </c>
      <c r="L10" s="8">
        <f t="shared" si="3"/>
        <v>0</v>
      </c>
      <c r="M10" s="8">
        <f t="shared" si="4"/>
        <v>0</v>
      </c>
      <c r="N10" s="8">
        <f t="shared" si="5"/>
        <v>0</v>
      </c>
      <c r="P10" s="8">
        <f t="shared" si="6"/>
        <v>0</v>
      </c>
      <c r="Q10" s="8">
        <f t="shared" si="8"/>
        <v>0</v>
      </c>
      <c r="R10" s="8">
        <f t="shared" si="7"/>
        <v>1244</v>
      </c>
      <c r="S10" s="8">
        <f t="shared" si="9"/>
        <v>1056</v>
      </c>
      <c r="T10" s="8">
        <f t="shared" si="12"/>
        <v>-241.97000122070312</v>
      </c>
      <c r="U10" s="9">
        <f t="shared" si="10"/>
        <v>241.97000122070312</v>
      </c>
      <c r="V10" s="9">
        <f t="shared" si="11"/>
        <v>617.6500244140625</v>
      </c>
      <c r="W10" s="9">
        <f t="shared" si="13"/>
        <v>2299.300048828125</v>
      </c>
    </row>
    <row r="11" spans="1:31" x14ac:dyDescent="0.2">
      <c r="A11" s="50">
        <v>45797</v>
      </c>
      <c r="B11" s="51" t="s">
        <v>324</v>
      </c>
      <c r="C11" s="45">
        <v>-185</v>
      </c>
      <c r="D11" s="51" t="s">
        <v>221</v>
      </c>
      <c r="E11" s="51" t="s">
        <v>174</v>
      </c>
      <c r="F11" s="51" t="s">
        <v>174</v>
      </c>
      <c r="G11" s="52" t="s">
        <v>104</v>
      </c>
      <c r="H11" s="7"/>
      <c r="I11" s="9">
        <f t="shared" si="0"/>
        <v>0</v>
      </c>
      <c r="J11" s="9">
        <f t="shared" si="1"/>
        <v>-185</v>
      </c>
      <c r="K11" s="9">
        <f t="shared" si="2"/>
        <v>0</v>
      </c>
      <c r="L11" s="8">
        <f t="shared" si="3"/>
        <v>-185</v>
      </c>
      <c r="M11" s="8">
        <f t="shared" si="4"/>
        <v>0</v>
      </c>
      <c r="N11" s="8">
        <f t="shared" si="5"/>
        <v>0</v>
      </c>
      <c r="P11" s="8">
        <f t="shared" si="6"/>
        <v>-185</v>
      </c>
      <c r="Q11" s="8">
        <f t="shared" si="8"/>
        <v>-185</v>
      </c>
      <c r="R11" s="8">
        <f t="shared" si="7"/>
        <v>1245</v>
      </c>
      <c r="S11" s="8">
        <f t="shared" si="9"/>
        <v>1057</v>
      </c>
      <c r="T11" s="8">
        <f t="shared" si="12"/>
        <v>-426.97000122070312</v>
      </c>
      <c r="U11" s="9">
        <f t="shared" si="10"/>
        <v>426.97000122070312</v>
      </c>
      <c r="V11" s="9">
        <f t="shared" si="11"/>
        <v>0</v>
      </c>
      <c r="W11" s="9">
        <f t="shared" si="13"/>
        <v>2299.300048828125</v>
      </c>
    </row>
    <row r="12" spans="1:31" x14ac:dyDescent="0.2">
      <c r="A12" s="47">
        <v>45797</v>
      </c>
      <c r="B12" s="48" t="s">
        <v>325</v>
      </c>
      <c r="C12" s="44">
        <v>-4.9899997711181641</v>
      </c>
      <c r="D12" s="48" t="s">
        <v>211</v>
      </c>
      <c r="E12" s="48" t="s">
        <v>174</v>
      </c>
      <c r="F12" s="48" t="s">
        <v>174</v>
      </c>
      <c r="G12" s="49" t="s">
        <v>105</v>
      </c>
      <c r="H12" s="7"/>
      <c r="I12" s="9">
        <f t="shared" si="0"/>
        <v>0</v>
      </c>
      <c r="J12" s="9">
        <f t="shared" si="1"/>
        <v>0</v>
      </c>
      <c r="K12" s="9">
        <f t="shared" si="2"/>
        <v>-4.9899997711181641</v>
      </c>
      <c r="L12" s="8">
        <f t="shared" si="3"/>
        <v>-4.9899997711181641</v>
      </c>
      <c r="M12" s="8">
        <f t="shared" si="4"/>
        <v>0</v>
      </c>
      <c r="N12" s="8">
        <f t="shared" si="5"/>
        <v>0</v>
      </c>
      <c r="P12" s="8">
        <f t="shared" si="6"/>
        <v>-4.9899997711181641</v>
      </c>
      <c r="Q12" s="8">
        <f t="shared" si="8"/>
        <v>-4.9899997711181641</v>
      </c>
      <c r="R12" s="8">
        <f t="shared" si="7"/>
        <v>1245</v>
      </c>
      <c r="S12" s="8">
        <f t="shared" si="9"/>
        <v>1057</v>
      </c>
      <c r="T12" s="8">
        <f t="shared" si="12"/>
        <v>-431.96000099182129</v>
      </c>
      <c r="U12" s="9">
        <f t="shared" si="10"/>
        <v>431.96000099182129</v>
      </c>
      <c r="V12" s="9">
        <f t="shared" si="11"/>
        <v>0</v>
      </c>
      <c r="W12" s="9">
        <f t="shared" si="13"/>
        <v>2299.300048828125</v>
      </c>
    </row>
    <row r="13" spans="1:31" x14ac:dyDescent="0.2">
      <c r="A13" s="50">
        <v>45798</v>
      </c>
      <c r="B13" s="51" t="s">
        <v>326</v>
      </c>
      <c r="C13" s="45">
        <v>-11.789999961853027</v>
      </c>
      <c r="D13" s="51" t="s">
        <v>235</v>
      </c>
      <c r="E13" s="51" t="s">
        <v>174</v>
      </c>
      <c r="F13" s="51" t="s">
        <v>174</v>
      </c>
      <c r="G13" s="52" t="s">
        <v>104</v>
      </c>
      <c r="H13" s="7"/>
      <c r="I13" s="9">
        <f t="shared" si="0"/>
        <v>0</v>
      </c>
      <c r="J13" s="9">
        <f t="shared" si="1"/>
        <v>-11.789999961853027</v>
      </c>
      <c r="K13" s="9">
        <f t="shared" si="2"/>
        <v>0</v>
      </c>
      <c r="L13" s="8">
        <f t="shared" si="3"/>
        <v>-11.789999961853027</v>
      </c>
      <c r="M13" s="8">
        <f t="shared" si="4"/>
        <v>0</v>
      </c>
      <c r="N13" s="8">
        <f t="shared" si="5"/>
        <v>0</v>
      </c>
      <c r="P13" s="8">
        <f t="shared" si="6"/>
        <v>-11.789999961853027</v>
      </c>
      <c r="Q13" s="8">
        <f t="shared" si="8"/>
        <v>-11.789999961853027</v>
      </c>
      <c r="R13" s="8">
        <f t="shared" si="7"/>
        <v>1246</v>
      </c>
      <c r="S13" s="8">
        <f t="shared" si="9"/>
        <v>1058</v>
      </c>
      <c r="T13" s="8">
        <f t="shared" si="12"/>
        <v>-443.75000095367432</v>
      </c>
      <c r="U13" s="9">
        <f t="shared" si="10"/>
        <v>443.75000095367432</v>
      </c>
      <c r="V13" s="9">
        <f t="shared" si="11"/>
        <v>0</v>
      </c>
      <c r="W13" s="9">
        <f t="shared" si="13"/>
        <v>2299.300048828125</v>
      </c>
    </row>
    <row r="14" spans="1:31" x14ac:dyDescent="0.2">
      <c r="A14" s="47">
        <v>45799</v>
      </c>
      <c r="B14" s="48" t="s">
        <v>116</v>
      </c>
      <c r="C14" s="44">
        <v>-10.989999771118164</v>
      </c>
      <c r="D14" s="48" t="s">
        <v>211</v>
      </c>
      <c r="E14" s="48" t="s">
        <v>174</v>
      </c>
      <c r="F14" s="48" t="s">
        <v>103</v>
      </c>
      <c r="G14" s="49" t="s">
        <v>105</v>
      </c>
      <c r="H14" s="7"/>
      <c r="I14" s="9">
        <f t="shared" si="0"/>
        <v>-10.989999771118164</v>
      </c>
      <c r="J14" s="9">
        <f t="shared" si="1"/>
        <v>0</v>
      </c>
      <c r="K14" s="9">
        <f t="shared" si="2"/>
        <v>-10.989999771118164</v>
      </c>
      <c r="L14" s="8">
        <f t="shared" si="3"/>
        <v>0</v>
      </c>
      <c r="M14" s="8">
        <f t="shared" si="4"/>
        <v>0</v>
      </c>
      <c r="N14" s="8">
        <f t="shared" si="5"/>
        <v>0</v>
      </c>
      <c r="P14" s="8">
        <f t="shared" si="6"/>
        <v>-10.989999771118164</v>
      </c>
      <c r="Q14" s="8">
        <f t="shared" si="8"/>
        <v>-10.989999771118164</v>
      </c>
      <c r="R14" s="8">
        <f t="shared" si="7"/>
        <v>1247</v>
      </c>
      <c r="S14" s="8">
        <f t="shared" si="9"/>
        <v>1059</v>
      </c>
      <c r="T14" s="8">
        <f t="shared" si="12"/>
        <v>-454.74000072479248</v>
      </c>
      <c r="U14" s="9">
        <f t="shared" si="10"/>
        <v>454.74000072479248</v>
      </c>
      <c r="V14" s="9">
        <f t="shared" si="11"/>
        <v>0</v>
      </c>
      <c r="W14" s="9">
        <f t="shared" si="13"/>
        <v>2299.300048828125</v>
      </c>
    </row>
    <row r="15" spans="1:31" x14ac:dyDescent="0.2">
      <c r="A15" s="50">
        <v>45799</v>
      </c>
      <c r="B15" s="51" t="s">
        <v>336</v>
      </c>
      <c r="C15" s="45">
        <v>-101.95999908447266</v>
      </c>
      <c r="D15" s="51" t="s">
        <v>337</v>
      </c>
      <c r="E15" s="51" t="s">
        <v>174</v>
      </c>
      <c r="F15" s="51" t="s">
        <v>174</v>
      </c>
      <c r="G15" s="52" t="s">
        <v>105</v>
      </c>
      <c r="H15" s="7"/>
      <c r="I15" s="9">
        <f t="shared" si="0"/>
        <v>0</v>
      </c>
      <c r="J15" s="9">
        <f t="shared" si="1"/>
        <v>0</v>
      </c>
      <c r="K15" s="9">
        <f t="shared" si="2"/>
        <v>-101.95999908447266</v>
      </c>
      <c r="L15" s="8">
        <f t="shared" si="3"/>
        <v>-101.95999908447266</v>
      </c>
      <c r="M15" s="8">
        <f t="shared" si="4"/>
        <v>0</v>
      </c>
      <c r="N15" s="8">
        <f t="shared" si="5"/>
        <v>0</v>
      </c>
      <c r="P15" s="8">
        <f t="shared" si="6"/>
        <v>-101.95999908447266</v>
      </c>
      <c r="Q15" s="8">
        <f t="shared" si="8"/>
        <v>-101.95999908447266</v>
      </c>
      <c r="R15" s="8">
        <f t="shared" si="7"/>
        <v>1247</v>
      </c>
      <c r="S15" s="8">
        <f t="shared" si="9"/>
        <v>1059</v>
      </c>
      <c r="T15" s="8">
        <f t="shared" si="12"/>
        <v>-556.69999980926514</v>
      </c>
      <c r="U15" s="9">
        <f t="shared" si="10"/>
        <v>556.69999980926514</v>
      </c>
      <c r="V15" s="9">
        <f t="shared" si="11"/>
        <v>0</v>
      </c>
      <c r="W15" s="9">
        <f t="shared" si="13"/>
        <v>2299.300048828125</v>
      </c>
    </row>
    <row r="16" spans="1:31" x14ac:dyDescent="0.2">
      <c r="A16" s="47">
        <v>45799</v>
      </c>
      <c r="B16" s="48" t="s">
        <v>327</v>
      </c>
      <c r="C16" s="44">
        <v>-6.5300002098083496</v>
      </c>
      <c r="D16" s="48" t="s">
        <v>205</v>
      </c>
      <c r="E16" s="48" t="s">
        <v>174</v>
      </c>
      <c r="F16" s="48" t="s">
        <v>174</v>
      </c>
      <c r="G16" s="49" t="s">
        <v>104</v>
      </c>
      <c r="H16" s="7"/>
      <c r="I16" s="9">
        <f t="shared" si="0"/>
        <v>0</v>
      </c>
      <c r="J16" s="9">
        <f t="shared" si="1"/>
        <v>-6.5300002098083496</v>
      </c>
      <c r="K16" s="9">
        <f t="shared" si="2"/>
        <v>0</v>
      </c>
      <c r="L16" s="8">
        <f t="shared" si="3"/>
        <v>-6.5300002098083496</v>
      </c>
      <c r="M16" s="8">
        <f t="shared" si="4"/>
        <v>0</v>
      </c>
      <c r="N16" s="8">
        <f t="shared" si="5"/>
        <v>0</v>
      </c>
      <c r="P16" s="8">
        <f t="shared" si="6"/>
        <v>-6.5300002098083496</v>
      </c>
      <c r="Q16" s="8">
        <f t="shared" si="8"/>
        <v>-6.5300002098083496</v>
      </c>
      <c r="R16" s="8">
        <f t="shared" si="7"/>
        <v>1247</v>
      </c>
      <c r="S16" s="8">
        <f t="shared" si="9"/>
        <v>1059</v>
      </c>
      <c r="T16" s="8">
        <f t="shared" si="12"/>
        <v>-563.23000001907349</v>
      </c>
      <c r="U16" s="9">
        <f t="shared" si="10"/>
        <v>563.23000001907349</v>
      </c>
      <c r="V16" s="9">
        <f t="shared" si="11"/>
        <v>0</v>
      </c>
      <c r="W16" s="9">
        <f t="shared" si="13"/>
        <v>2299.300048828125</v>
      </c>
    </row>
    <row r="17" spans="1:23" x14ac:dyDescent="0.2">
      <c r="A17" s="50">
        <v>45799</v>
      </c>
      <c r="B17" s="51" t="s">
        <v>273</v>
      </c>
      <c r="C17" s="45">
        <v>-40</v>
      </c>
      <c r="D17" s="51" t="s">
        <v>235</v>
      </c>
      <c r="E17" s="51" t="s">
        <v>174</v>
      </c>
      <c r="F17" s="51" t="s">
        <v>174</v>
      </c>
      <c r="G17" s="52" t="s">
        <v>104</v>
      </c>
      <c r="H17" s="7"/>
      <c r="I17" s="9">
        <f t="shared" si="0"/>
        <v>0</v>
      </c>
      <c r="J17" s="9">
        <f t="shared" si="1"/>
        <v>-40</v>
      </c>
      <c r="K17" s="9">
        <f t="shared" si="2"/>
        <v>0</v>
      </c>
      <c r="L17" s="8">
        <f t="shared" si="3"/>
        <v>-40</v>
      </c>
      <c r="M17" s="8">
        <f t="shared" si="4"/>
        <v>0</v>
      </c>
      <c r="N17" s="8">
        <f t="shared" si="5"/>
        <v>0</v>
      </c>
      <c r="P17" s="8">
        <f t="shared" si="6"/>
        <v>-40</v>
      </c>
      <c r="Q17" s="8">
        <f t="shared" si="8"/>
        <v>-40</v>
      </c>
      <c r="R17" s="8">
        <f t="shared" si="7"/>
        <v>1247</v>
      </c>
      <c r="S17" s="8">
        <f t="shared" si="9"/>
        <v>1059</v>
      </c>
      <c r="T17" s="8">
        <f t="shared" si="12"/>
        <v>-603.23000001907349</v>
      </c>
      <c r="U17" s="9">
        <f t="shared" si="10"/>
        <v>603.23000001907349</v>
      </c>
      <c r="V17" s="9">
        <f t="shared" si="11"/>
        <v>0</v>
      </c>
      <c r="W17" s="9">
        <f t="shared" si="13"/>
        <v>2299.300048828125</v>
      </c>
    </row>
    <row r="18" spans="1:23" x14ac:dyDescent="0.2">
      <c r="A18" s="47">
        <v>45800</v>
      </c>
      <c r="B18" s="48" t="s">
        <v>138</v>
      </c>
      <c r="C18" s="44">
        <v>-84.510002136230469</v>
      </c>
      <c r="D18" s="48" t="s">
        <v>206</v>
      </c>
      <c r="E18" s="48" t="s">
        <v>174</v>
      </c>
      <c r="F18" s="48" t="s">
        <v>174</v>
      </c>
      <c r="G18" s="49" t="s">
        <v>104</v>
      </c>
      <c r="H18" s="7"/>
      <c r="I18" s="9">
        <f t="shared" si="0"/>
        <v>0</v>
      </c>
      <c r="J18" s="9">
        <f t="shared" si="1"/>
        <v>-84.510002136230469</v>
      </c>
      <c r="K18" s="9">
        <f t="shared" si="2"/>
        <v>0</v>
      </c>
      <c r="L18" s="8">
        <f t="shared" si="3"/>
        <v>-84.510002136230469</v>
      </c>
      <c r="M18" s="8">
        <f t="shared" si="4"/>
        <v>0</v>
      </c>
      <c r="N18" s="8">
        <f t="shared" si="5"/>
        <v>0</v>
      </c>
      <c r="P18" s="8">
        <f t="shared" si="6"/>
        <v>-84.510002136230469</v>
      </c>
      <c r="Q18" s="8">
        <f t="shared" si="8"/>
        <v>-84.510002136230469</v>
      </c>
      <c r="R18" s="8">
        <f t="shared" si="7"/>
        <v>1248</v>
      </c>
      <c r="S18" s="8">
        <f t="shared" si="9"/>
        <v>1060</v>
      </c>
      <c r="T18" s="8">
        <f t="shared" si="12"/>
        <v>-687.74000215530396</v>
      </c>
      <c r="U18" s="9">
        <f t="shared" si="10"/>
        <v>687.74000215530396</v>
      </c>
      <c r="V18" s="9">
        <f t="shared" si="11"/>
        <v>0</v>
      </c>
      <c r="W18" s="9">
        <f t="shared" si="13"/>
        <v>2299.300048828125</v>
      </c>
    </row>
    <row r="19" spans="1:23" x14ac:dyDescent="0.2">
      <c r="A19" s="50">
        <v>45800</v>
      </c>
      <c r="B19" s="51" t="s">
        <v>138</v>
      </c>
      <c r="C19" s="45">
        <v>-3.8900001049041748</v>
      </c>
      <c r="D19" s="51" t="s">
        <v>206</v>
      </c>
      <c r="E19" s="51" t="s">
        <v>174</v>
      </c>
      <c r="F19" s="51" t="s">
        <v>174</v>
      </c>
      <c r="G19" s="52" t="s">
        <v>104</v>
      </c>
      <c r="H19" s="7"/>
      <c r="I19" s="9">
        <f t="shared" si="0"/>
        <v>0</v>
      </c>
      <c r="J19" s="9">
        <f t="shared" si="1"/>
        <v>-3.8900001049041748</v>
      </c>
      <c r="K19" s="9">
        <f t="shared" si="2"/>
        <v>0</v>
      </c>
      <c r="L19" s="8">
        <f t="shared" si="3"/>
        <v>-3.8900001049041748</v>
      </c>
      <c r="M19" s="8">
        <f t="shared" si="4"/>
        <v>0</v>
      </c>
      <c r="N19" s="8">
        <f t="shared" si="5"/>
        <v>0</v>
      </c>
      <c r="P19" s="8">
        <f t="shared" si="6"/>
        <v>-3.8900001049041748</v>
      </c>
      <c r="Q19" s="8">
        <f t="shared" si="8"/>
        <v>-3.8900001049041748</v>
      </c>
      <c r="R19" s="8">
        <f t="shared" si="7"/>
        <v>1248</v>
      </c>
      <c r="S19" s="8">
        <f t="shared" si="9"/>
        <v>1060</v>
      </c>
      <c r="T19" s="8">
        <f t="shared" si="12"/>
        <v>-691.63000226020813</v>
      </c>
      <c r="U19" s="9">
        <f t="shared" si="10"/>
        <v>691.63000226020813</v>
      </c>
      <c r="V19" s="9">
        <f t="shared" si="11"/>
        <v>0</v>
      </c>
      <c r="W19" s="9">
        <f t="shared" si="13"/>
        <v>2299.300048828125</v>
      </c>
    </row>
    <row r="20" spans="1:23" x14ac:dyDescent="0.2">
      <c r="A20" s="47">
        <v>45800</v>
      </c>
      <c r="B20" s="48" t="s">
        <v>338</v>
      </c>
      <c r="C20" s="44">
        <v>-10.829999923706055</v>
      </c>
      <c r="D20" s="48" t="s">
        <v>216</v>
      </c>
      <c r="E20" s="48" t="s">
        <v>174</v>
      </c>
      <c r="F20" s="48" t="s">
        <v>174</v>
      </c>
      <c r="G20" s="49" t="s">
        <v>104</v>
      </c>
      <c r="H20" s="7"/>
      <c r="I20" s="9">
        <f t="shared" si="0"/>
        <v>0</v>
      </c>
      <c r="J20" s="9">
        <f t="shared" si="1"/>
        <v>-10.829999923706055</v>
      </c>
      <c r="K20" s="9">
        <f t="shared" si="2"/>
        <v>0</v>
      </c>
      <c r="L20" s="8">
        <f t="shared" si="3"/>
        <v>-10.829999923706055</v>
      </c>
      <c r="M20" s="8">
        <f t="shared" si="4"/>
        <v>0</v>
      </c>
      <c r="N20" s="8">
        <f t="shared" si="5"/>
        <v>0</v>
      </c>
      <c r="P20" s="8">
        <f t="shared" si="6"/>
        <v>-10.829999923706055</v>
      </c>
      <c r="Q20" s="8">
        <f t="shared" si="8"/>
        <v>-10.829999923706055</v>
      </c>
      <c r="R20" s="8">
        <f t="shared" si="7"/>
        <v>1248</v>
      </c>
      <c r="S20" s="8">
        <f t="shared" si="9"/>
        <v>1060</v>
      </c>
      <c r="T20" s="8">
        <f t="shared" si="12"/>
        <v>-702.46000218391418</v>
      </c>
      <c r="U20" s="9">
        <f t="shared" si="10"/>
        <v>702.46000218391418</v>
      </c>
      <c r="V20" s="9">
        <f t="shared" si="11"/>
        <v>0</v>
      </c>
      <c r="W20" s="9">
        <f t="shared" si="13"/>
        <v>2299.300048828125</v>
      </c>
    </row>
    <row r="21" spans="1:23" x14ac:dyDescent="0.2">
      <c r="A21" s="50">
        <v>45801</v>
      </c>
      <c r="B21" s="51" t="s">
        <v>323</v>
      </c>
      <c r="C21" s="45">
        <v>-0.72000002861022949</v>
      </c>
      <c r="D21" s="51" t="s">
        <v>235</v>
      </c>
      <c r="E21" s="51" t="s">
        <v>174</v>
      </c>
      <c r="F21" s="51" t="s">
        <v>174</v>
      </c>
      <c r="G21" s="52" t="s">
        <v>105</v>
      </c>
      <c r="H21" s="7"/>
      <c r="I21" s="9">
        <f t="shared" si="0"/>
        <v>0</v>
      </c>
      <c r="J21" s="9">
        <f t="shared" si="1"/>
        <v>0</v>
      </c>
      <c r="K21" s="9">
        <f t="shared" si="2"/>
        <v>-0.72000002861022949</v>
      </c>
      <c r="L21" s="8">
        <f t="shared" si="3"/>
        <v>-0.72000002861022949</v>
      </c>
      <c r="M21" s="8">
        <f t="shared" si="4"/>
        <v>0</v>
      </c>
      <c r="N21" s="8">
        <f t="shared" si="5"/>
        <v>0</v>
      </c>
      <c r="P21" s="8">
        <f t="shared" si="6"/>
        <v>-0.72000002861022949</v>
      </c>
      <c r="Q21" s="8">
        <f t="shared" si="8"/>
        <v>-0.72000002861022949</v>
      </c>
      <c r="R21" s="8">
        <f t="shared" si="7"/>
        <v>1249</v>
      </c>
      <c r="S21" s="8">
        <f t="shared" si="9"/>
        <v>1061</v>
      </c>
      <c r="T21" s="8">
        <f t="shared" si="12"/>
        <v>-703.18000221252441</v>
      </c>
      <c r="U21" s="9">
        <f t="shared" si="10"/>
        <v>703.18000221252441</v>
      </c>
      <c r="V21" s="9">
        <f t="shared" si="11"/>
        <v>0</v>
      </c>
      <c r="W21" s="9">
        <f t="shared" si="13"/>
        <v>2299.300048828125</v>
      </c>
    </row>
    <row r="22" spans="1:23" x14ac:dyDescent="0.2">
      <c r="A22" s="47">
        <v>45803</v>
      </c>
      <c r="B22" s="48" t="s">
        <v>359</v>
      </c>
      <c r="C22" s="44">
        <v>-81.980003356933594</v>
      </c>
      <c r="D22" s="48" t="s">
        <v>205</v>
      </c>
      <c r="E22" s="48" t="s">
        <v>174</v>
      </c>
      <c r="F22" s="48" t="s">
        <v>174</v>
      </c>
      <c r="G22" s="49" t="s">
        <v>105</v>
      </c>
      <c r="H22" s="7"/>
      <c r="I22" s="9">
        <f t="shared" si="0"/>
        <v>0</v>
      </c>
      <c r="J22" s="9">
        <f t="shared" si="1"/>
        <v>0</v>
      </c>
      <c r="K22" s="9">
        <f t="shared" si="2"/>
        <v>-81.980003356933594</v>
      </c>
      <c r="L22" s="8">
        <f t="shared" si="3"/>
        <v>-81.980003356933594</v>
      </c>
      <c r="M22" s="8">
        <f t="shared" si="4"/>
        <v>0</v>
      </c>
      <c r="N22" s="8">
        <f t="shared" si="5"/>
        <v>0</v>
      </c>
      <c r="P22" s="8">
        <f t="shared" si="6"/>
        <v>-81.980003356933594</v>
      </c>
      <c r="Q22" s="8">
        <f t="shared" si="8"/>
        <v>-81.980003356933594</v>
      </c>
      <c r="R22" s="8">
        <f t="shared" si="7"/>
        <v>1251</v>
      </c>
      <c r="S22" s="8">
        <f t="shared" si="9"/>
        <v>1063</v>
      </c>
      <c r="T22" s="8">
        <f t="shared" si="12"/>
        <v>-785.16000556945801</v>
      </c>
      <c r="U22" s="9">
        <f t="shared" si="10"/>
        <v>785.16000556945801</v>
      </c>
      <c r="V22" s="9">
        <f t="shared" si="11"/>
        <v>0</v>
      </c>
      <c r="W22" s="9">
        <f t="shared" si="13"/>
        <v>2299.300048828125</v>
      </c>
    </row>
    <row r="23" spans="1:23" x14ac:dyDescent="0.2">
      <c r="A23" s="50">
        <v>45804</v>
      </c>
      <c r="B23" s="51" t="s">
        <v>240</v>
      </c>
      <c r="C23" s="45">
        <v>720.6099853515625</v>
      </c>
      <c r="D23" s="51" t="s">
        <v>213</v>
      </c>
      <c r="E23" s="51" t="s">
        <v>174</v>
      </c>
      <c r="F23" s="51" t="s">
        <v>174</v>
      </c>
      <c r="G23" s="52" t="s">
        <v>104</v>
      </c>
      <c r="H23" s="7"/>
      <c r="I23" s="9">
        <f t="shared" si="0"/>
        <v>0</v>
      </c>
      <c r="J23" s="9">
        <f t="shared" si="1"/>
        <v>720.6099853515625</v>
      </c>
      <c r="K23" s="9">
        <f t="shared" si="2"/>
        <v>0</v>
      </c>
      <c r="L23" s="8">
        <f t="shared" si="3"/>
        <v>0</v>
      </c>
      <c r="M23" s="8">
        <f t="shared" si="4"/>
        <v>0</v>
      </c>
      <c r="N23" s="8">
        <f t="shared" si="5"/>
        <v>0</v>
      </c>
      <c r="P23" s="8">
        <f t="shared" si="6"/>
        <v>0</v>
      </c>
      <c r="Q23" s="8">
        <f t="shared" si="8"/>
        <v>0</v>
      </c>
      <c r="R23" s="8">
        <f t="shared" si="7"/>
        <v>1252</v>
      </c>
      <c r="S23" s="8">
        <f t="shared" si="9"/>
        <v>1064</v>
      </c>
      <c r="T23" s="8">
        <f t="shared" si="12"/>
        <v>-785.16000556945801</v>
      </c>
      <c r="U23" s="9">
        <f t="shared" si="10"/>
        <v>785.16000556945801</v>
      </c>
      <c r="V23" s="9">
        <f t="shared" si="11"/>
        <v>720.6099853515625</v>
      </c>
      <c r="W23" s="9">
        <f t="shared" si="13"/>
        <v>3019.9100341796875</v>
      </c>
    </row>
    <row r="24" spans="1:23" x14ac:dyDescent="0.2">
      <c r="A24" s="47">
        <v>45804</v>
      </c>
      <c r="B24" s="48" t="s">
        <v>116</v>
      </c>
      <c r="C24" s="44">
        <v>-2.9900000095367432</v>
      </c>
      <c r="D24" s="48" t="s">
        <v>211</v>
      </c>
      <c r="E24" s="48" t="s">
        <v>174</v>
      </c>
      <c r="F24" s="48" t="s">
        <v>103</v>
      </c>
      <c r="G24" s="49" t="s">
        <v>105</v>
      </c>
      <c r="H24" s="7"/>
      <c r="I24" s="9">
        <f t="shared" si="0"/>
        <v>-2.9900000095367432</v>
      </c>
      <c r="J24" s="9">
        <f t="shared" si="1"/>
        <v>0</v>
      </c>
      <c r="K24" s="9">
        <f t="shared" si="2"/>
        <v>-2.9900000095367432</v>
      </c>
      <c r="L24" s="8">
        <f t="shared" si="3"/>
        <v>0</v>
      </c>
      <c r="M24" s="8">
        <f t="shared" si="4"/>
        <v>0</v>
      </c>
      <c r="N24" s="8">
        <f t="shared" si="5"/>
        <v>0</v>
      </c>
      <c r="P24" s="8">
        <f t="shared" si="6"/>
        <v>-2.9900000095367432</v>
      </c>
      <c r="Q24" s="8">
        <f t="shared" si="8"/>
        <v>-2.9900000095367432</v>
      </c>
      <c r="R24" s="8">
        <f t="shared" si="7"/>
        <v>1252</v>
      </c>
      <c r="S24" s="8">
        <f t="shared" si="9"/>
        <v>1064</v>
      </c>
      <c r="T24" s="8">
        <f t="shared" si="12"/>
        <v>-788.15000557899475</v>
      </c>
      <c r="U24" s="9">
        <f t="shared" si="10"/>
        <v>788.15000557899475</v>
      </c>
      <c r="V24" s="9">
        <f t="shared" si="11"/>
        <v>0</v>
      </c>
      <c r="W24" s="9">
        <f t="shared" si="13"/>
        <v>3019.9100341796875</v>
      </c>
    </row>
    <row r="25" spans="1:23" x14ac:dyDescent="0.2">
      <c r="A25" s="50">
        <v>45804</v>
      </c>
      <c r="B25" s="51" t="s">
        <v>138</v>
      </c>
      <c r="C25" s="45">
        <v>-37.509998321533203</v>
      </c>
      <c r="D25" s="51" t="s">
        <v>206</v>
      </c>
      <c r="E25" s="51" t="s">
        <v>174</v>
      </c>
      <c r="F25" s="51" t="s">
        <v>174</v>
      </c>
      <c r="G25" s="52" t="s">
        <v>104</v>
      </c>
      <c r="H25" s="7"/>
      <c r="I25" s="9">
        <f t="shared" si="0"/>
        <v>0</v>
      </c>
      <c r="J25" s="9">
        <f t="shared" si="1"/>
        <v>-37.509998321533203</v>
      </c>
      <c r="K25" s="9">
        <f t="shared" si="2"/>
        <v>0</v>
      </c>
      <c r="L25" s="8">
        <f t="shared" si="3"/>
        <v>-37.509998321533203</v>
      </c>
      <c r="M25" s="8">
        <f t="shared" si="4"/>
        <v>0</v>
      </c>
      <c r="N25" s="8">
        <f t="shared" si="5"/>
        <v>0</v>
      </c>
      <c r="P25" s="8">
        <f t="shared" si="6"/>
        <v>-37.509998321533203</v>
      </c>
      <c r="Q25" s="8">
        <f t="shared" si="8"/>
        <v>-37.509998321533203</v>
      </c>
      <c r="R25" s="8">
        <f t="shared" si="7"/>
        <v>1252</v>
      </c>
      <c r="S25" s="8">
        <f t="shared" si="9"/>
        <v>1064</v>
      </c>
      <c r="T25" s="8">
        <f t="shared" si="12"/>
        <v>-825.66000390052795</v>
      </c>
      <c r="U25" s="9">
        <f t="shared" si="10"/>
        <v>825.66000390052795</v>
      </c>
      <c r="V25" s="9">
        <f t="shared" si="11"/>
        <v>0</v>
      </c>
      <c r="W25" s="9">
        <f t="shared" si="13"/>
        <v>3019.9100341796875</v>
      </c>
    </row>
    <row r="26" spans="1:23" x14ac:dyDescent="0.2">
      <c r="A26" s="47">
        <v>45804</v>
      </c>
      <c r="B26" s="48" t="s">
        <v>138</v>
      </c>
      <c r="C26" s="44">
        <v>-26.899999618530273</v>
      </c>
      <c r="D26" s="48" t="s">
        <v>206</v>
      </c>
      <c r="E26" s="48" t="s">
        <v>174</v>
      </c>
      <c r="F26" s="48" t="s">
        <v>174</v>
      </c>
      <c r="G26" s="49" t="s">
        <v>104</v>
      </c>
      <c r="H26" s="7"/>
      <c r="I26" s="9">
        <f t="shared" si="0"/>
        <v>0</v>
      </c>
      <c r="J26" s="9">
        <f t="shared" si="1"/>
        <v>-26.899999618530273</v>
      </c>
      <c r="K26" s="9">
        <f t="shared" si="2"/>
        <v>0</v>
      </c>
      <c r="L26" s="8">
        <f t="shared" si="3"/>
        <v>-26.899999618530273</v>
      </c>
      <c r="M26" s="8">
        <f t="shared" si="4"/>
        <v>0</v>
      </c>
      <c r="N26" s="8">
        <f t="shared" si="5"/>
        <v>0</v>
      </c>
      <c r="P26" s="8">
        <f t="shared" si="6"/>
        <v>-26.899999618530273</v>
      </c>
      <c r="Q26" s="8">
        <f t="shared" si="8"/>
        <v>-26.899999618530273</v>
      </c>
      <c r="R26" s="8">
        <f t="shared" si="7"/>
        <v>1252</v>
      </c>
      <c r="S26" s="8">
        <f t="shared" si="9"/>
        <v>1064</v>
      </c>
      <c r="T26" s="8">
        <f t="shared" si="12"/>
        <v>-852.56000351905823</v>
      </c>
      <c r="U26" s="9">
        <f t="shared" si="10"/>
        <v>852.56000351905823</v>
      </c>
      <c r="V26" s="9">
        <f t="shared" si="11"/>
        <v>0</v>
      </c>
      <c r="W26" s="9">
        <f t="shared" si="13"/>
        <v>3019.9100341796875</v>
      </c>
    </row>
    <row r="27" spans="1:23" x14ac:dyDescent="0.2">
      <c r="A27" s="50">
        <v>45804</v>
      </c>
      <c r="B27" s="51" t="s">
        <v>138</v>
      </c>
      <c r="C27" s="45">
        <v>-11.270000457763672</v>
      </c>
      <c r="D27" s="51" t="s">
        <v>206</v>
      </c>
      <c r="E27" s="51" t="s">
        <v>174</v>
      </c>
      <c r="F27" s="51" t="s">
        <v>174</v>
      </c>
      <c r="G27" s="52" t="s">
        <v>104</v>
      </c>
      <c r="H27" s="7"/>
      <c r="I27" s="9">
        <f t="shared" si="0"/>
        <v>0</v>
      </c>
      <c r="J27" s="9">
        <f t="shared" si="1"/>
        <v>-11.270000457763672</v>
      </c>
      <c r="K27" s="9">
        <f t="shared" si="2"/>
        <v>0</v>
      </c>
      <c r="L27" s="8">
        <f t="shared" si="3"/>
        <v>-11.270000457763672</v>
      </c>
      <c r="M27" s="8">
        <f t="shared" si="4"/>
        <v>0</v>
      </c>
      <c r="N27" s="8">
        <f t="shared" si="5"/>
        <v>0</v>
      </c>
      <c r="P27" s="8">
        <f t="shared" si="6"/>
        <v>-11.270000457763672</v>
      </c>
      <c r="Q27" s="8">
        <f t="shared" si="8"/>
        <v>-11.270000457763672</v>
      </c>
      <c r="R27" s="8">
        <f t="shared" si="7"/>
        <v>1252</v>
      </c>
      <c r="S27" s="8">
        <f t="shared" si="9"/>
        <v>1064</v>
      </c>
      <c r="T27" s="8">
        <f t="shared" si="12"/>
        <v>-863.8300039768219</v>
      </c>
      <c r="U27" s="9">
        <f t="shared" si="10"/>
        <v>863.8300039768219</v>
      </c>
      <c r="V27" s="9">
        <f t="shared" si="11"/>
        <v>0</v>
      </c>
      <c r="W27" s="9">
        <f t="shared" si="13"/>
        <v>3019.9100341796875</v>
      </c>
    </row>
    <row r="28" spans="1:23" x14ac:dyDescent="0.2">
      <c r="A28" s="47">
        <v>45804</v>
      </c>
      <c r="B28" s="48" t="s">
        <v>138</v>
      </c>
      <c r="C28" s="44">
        <v>-7.8899998664855957</v>
      </c>
      <c r="D28" s="48" t="s">
        <v>206</v>
      </c>
      <c r="E28" s="48" t="s">
        <v>174</v>
      </c>
      <c r="F28" s="48" t="s">
        <v>174</v>
      </c>
      <c r="G28" s="49" t="s">
        <v>104</v>
      </c>
      <c r="H28" s="7"/>
      <c r="I28" s="9">
        <f t="shared" si="0"/>
        <v>0</v>
      </c>
      <c r="J28" s="9">
        <f t="shared" si="1"/>
        <v>-7.8899998664855957</v>
      </c>
      <c r="K28" s="9">
        <f t="shared" si="2"/>
        <v>0</v>
      </c>
      <c r="L28" s="8">
        <f t="shared" si="3"/>
        <v>-7.8899998664855957</v>
      </c>
      <c r="M28" s="8">
        <f t="shared" si="4"/>
        <v>0</v>
      </c>
      <c r="N28" s="8">
        <f t="shared" si="5"/>
        <v>0</v>
      </c>
      <c r="P28" s="8">
        <f t="shared" si="6"/>
        <v>-7.8899998664855957</v>
      </c>
      <c r="Q28" s="8">
        <f t="shared" si="8"/>
        <v>-7.8899998664855957</v>
      </c>
      <c r="R28" s="8">
        <f t="shared" si="7"/>
        <v>1252</v>
      </c>
      <c r="S28" s="8">
        <f t="shared" si="9"/>
        <v>1064</v>
      </c>
      <c r="T28" s="8">
        <f t="shared" si="12"/>
        <v>-871.7200038433075</v>
      </c>
      <c r="U28" s="9">
        <f t="shared" si="10"/>
        <v>871.7200038433075</v>
      </c>
      <c r="V28" s="9">
        <f t="shared" si="11"/>
        <v>0</v>
      </c>
      <c r="W28" s="9">
        <f t="shared" si="13"/>
        <v>3019.9100341796875</v>
      </c>
    </row>
    <row r="29" spans="1:23" x14ac:dyDescent="0.2">
      <c r="A29" s="50">
        <v>45804</v>
      </c>
      <c r="B29" s="51" t="s">
        <v>129</v>
      </c>
      <c r="C29" s="45">
        <v>-10</v>
      </c>
      <c r="D29" s="51" t="s">
        <v>229</v>
      </c>
      <c r="E29" s="51" t="s">
        <v>174</v>
      </c>
      <c r="F29" s="51" t="s">
        <v>174</v>
      </c>
      <c r="G29" s="52" t="s">
        <v>105</v>
      </c>
      <c r="H29" s="7"/>
      <c r="I29" s="9">
        <f t="shared" si="0"/>
        <v>0</v>
      </c>
      <c r="J29" s="9">
        <f t="shared" si="1"/>
        <v>0</v>
      </c>
      <c r="K29" s="9">
        <f t="shared" si="2"/>
        <v>-10</v>
      </c>
      <c r="L29" s="8">
        <f t="shared" si="3"/>
        <v>-10</v>
      </c>
      <c r="M29" s="8">
        <f t="shared" si="4"/>
        <v>0</v>
      </c>
      <c r="N29" s="8">
        <f t="shared" si="5"/>
        <v>0</v>
      </c>
      <c r="P29" s="8">
        <f t="shared" si="6"/>
        <v>-10</v>
      </c>
      <c r="Q29" s="8">
        <f t="shared" si="8"/>
        <v>-10</v>
      </c>
      <c r="R29" s="8">
        <f t="shared" si="7"/>
        <v>1252</v>
      </c>
      <c r="S29" s="8">
        <f t="shared" si="9"/>
        <v>1064</v>
      </c>
      <c r="T29" s="8">
        <f t="shared" si="12"/>
        <v>-881.7200038433075</v>
      </c>
      <c r="U29" s="9">
        <f t="shared" si="10"/>
        <v>881.7200038433075</v>
      </c>
      <c r="V29" s="9">
        <f t="shared" si="11"/>
        <v>0</v>
      </c>
      <c r="W29" s="9">
        <f t="shared" si="13"/>
        <v>3019.9100341796875</v>
      </c>
    </row>
    <row r="30" spans="1:23" x14ac:dyDescent="0.2">
      <c r="A30" s="47">
        <v>45804</v>
      </c>
      <c r="B30" s="48" t="s">
        <v>129</v>
      </c>
      <c r="C30" s="44">
        <v>10</v>
      </c>
      <c r="D30" s="48" t="s">
        <v>229</v>
      </c>
      <c r="E30" s="48" t="s">
        <v>174</v>
      </c>
      <c r="F30" s="48" t="s">
        <v>174</v>
      </c>
      <c r="G30" s="49" t="s">
        <v>105</v>
      </c>
      <c r="H30" s="7"/>
      <c r="I30" s="9">
        <f t="shared" si="0"/>
        <v>0</v>
      </c>
      <c r="J30" s="9">
        <f t="shared" si="1"/>
        <v>0</v>
      </c>
      <c r="K30" s="9">
        <f t="shared" si="2"/>
        <v>0</v>
      </c>
      <c r="L30" s="8">
        <f t="shared" si="3"/>
        <v>0</v>
      </c>
      <c r="M30" s="8">
        <f t="shared" si="4"/>
        <v>0</v>
      </c>
      <c r="N30" s="8">
        <f t="shared" si="5"/>
        <v>0</v>
      </c>
      <c r="P30" s="8">
        <f t="shared" si="6"/>
        <v>0</v>
      </c>
      <c r="Q30" s="8">
        <f t="shared" si="8"/>
        <v>0</v>
      </c>
      <c r="R30" s="8">
        <f t="shared" si="7"/>
        <v>1252</v>
      </c>
      <c r="S30" s="8">
        <f t="shared" si="9"/>
        <v>1064</v>
      </c>
      <c r="T30" s="8">
        <f t="shared" si="12"/>
        <v>-881.7200038433075</v>
      </c>
      <c r="U30" s="9">
        <f t="shared" si="10"/>
        <v>881.7200038433075</v>
      </c>
      <c r="V30" s="9">
        <f t="shared" si="11"/>
        <v>10</v>
      </c>
      <c r="W30" s="9">
        <f t="shared" si="13"/>
        <v>3029.9100341796875</v>
      </c>
    </row>
    <row r="31" spans="1:23" x14ac:dyDescent="0.2">
      <c r="A31" s="50">
        <v>45804</v>
      </c>
      <c r="B31" s="51" t="s">
        <v>323</v>
      </c>
      <c r="C31" s="45">
        <v>-40</v>
      </c>
      <c r="D31" s="51" t="s">
        <v>235</v>
      </c>
      <c r="E31" s="51" t="s">
        <v>174</v>
      </c>
      <c r="F31" s="51" t="s">
        <v>174</v>
      </c>
      <c r="G31" s="52" t="s">
        <v>105</v>
      </c>
      <c r="H31" s="7"/>
      <c r="I31" s="9">
        <f t="shared" si="0"/>
        <v>0</v>
      </c>
      <c r="J31" s="9">
        <f t="shared" si="1"/>
        <v>0</v>
      </c>
      <c r="K31" s="9">
        <f t="shared" si="2"/>
        <v>-40</v>
      </c>
      <c r="L31" s="8">
        <f t="shared" si="3"/>
        <v>-40</v>
      </c>
      <c r="M31" s="8">
        <f t="shared" si="4"/>
        <v>0</v>
      </c>
      <c r="N31" s="8">
        <f t="shared" si="5"/>
        <v>0</v>
      </c>
      <c r="P31" s="8">
        <f t="shared" si="6"/>
        <v>-40</v>
      </c>
      <c r="Q31" s="8">
        <f t="shared" si="8"/>
        <v>-40</v>
      </c>
      <c r="R31" s="8">
        <f t="shared" si="7"/>
        <v>1252</v>
      </c>
      <c r="S31" s="8">
        <f t="shared" si="9"/>
        <v>1064</v>
      </c>
      <c r="T31" s="8">
        <f t="shared" si="12"/>
        <v>-921.7200038433075</v>
      </c>
      <c r="U31" s="9">
        <f t="shared" si="10"/>
        <v>921.7200038433075</v>
      </c>
      <c r="V31" s="9">
        <f t="shared" si="11"/>
        <v>0</v>
      </c>
      <c r="W31" s="9">
        <f t="shared" si="13"/>
        <v>3029.9100341796875</v>
      </c>
    </row>
    <row r="32" spans="1:23" x14ac:dyDescent="0.2">
      <c r="A32" s="47">
        <v>45804</v>
      </c>
      <c r="B32" s="48" t="s">
        <v>360</v>
      </c>
      <c r="C32" s="44">
        <v>-22.090000152587891</v>
      </c>
      <c r="D32" s="48" t="s">
        <v>206</v>
      </c>
      <c r="E32" s="48" t="s">
        <v>174</v>
      </c>
      <c r="F32" s="48" t="s">
        <v>174</v>
      </c>
      <c r="G32" s="49" t="s">
        <v>104</v>
      </c>
      <c r="H32" s="7"/>
      <c r="I32" s="9">
        <f t="shared" si="0"/>
        <v>0</v>
      </c>
      <c r="J32" s="9">
        <f t="shared" si="1"/>
        <v>-22.090000152587891</v>
      </c>
      <c r="K32" s="9">
        <f t="shared" si="2"/>
        <v>0</v>
      </c>
      <c r="L32" s="8">
        <f t="shared" si="3"/>
        <v>-22.090000152587891</v>
      </c>
      <c r="M32" s="8">
        <f t="shared" si="4"/>
        <v>0</v>
      </c>
      <c r="N32" s="8">
        <f t="shared" si="5"/>
        <v>0</v>
      </c>
      <c r="P32" s="8">
        <f t="shared" si="6"/>
        <v>-22.090000152587891</v>
      </c>
      <c r="Q32" s="8">
        <f t="shared" si="8"/>
        <v>-22.090000152587891</v>
      </c>
      <c r="R32" s="8">
        <f t="shared" si="7"/>
        <v>1252</v>
      </c>
      <c r="S32" s="8">
        <f t="shared" si="9"/>
        <v>1064</v>
      </c>
      <c r="T32" s="8">
        <f t="shared" si="12"/>
        <v>-943.81000399589539</v>
      </c>
      <c r="U32" s="9">
        <f t="shared" si="10"/>
        <v>943.81000399589539</v>
      </c>
      <c r="V32" s="9">
        <f t="shared" si="11"/>
        <v>0</v>
      </c>
      <c r="W32" s="9">
        <f t="shared" si="13"/>
        <v>3029.9100341796875</v>
      </c>
    </row>
    <row r="33" spans="1:34" x14ac:dyDescent="0.2">
      <c r="A33" s="50">
        <v>45804</v>
      </c>
      <c r="B33" s="51" t="s">
        <v>361</v>
      </c>
      <c r="C33" s="45">
        <v>-5.9200000762939453</v>
      </c>
      <c r="D33" s="51" t="s">
        <v>226</v>
      </c>
      <c r="E33" s="51" t="s">
        <v>174</v>
      </c>
      <c r="F33" s="51" t="s">
        <v>174</v>
      </c>
      <c r="G33" s="52" t="s">
        <v>104</v>
      </c>
      <c r="H33" s="7"/>
      <c r="I33" s="9">
        <f t="shared" si="0"/>
        <v>0</v>
      </c>
      <c r="J33" s="9">
        <f t="shared" si="1"/>
        <v>-5.9200000762939453</v>
      </c>
      <c r="K33" s="9">
        <f t="shared" si="2"/>
        <v>0</v>
      </c>
      <c r="L33" s="8">
        <f t="shared" si="3"/>
        <v>-5.9200000762939453</v>
      </c>
      <c r="M33" s="8">
        <f t="shared" si="4"/>
        <v>0</v>
      </c>
      <c r="N33" s="8">
        <f t="shared" si="5"/>
        <v>0</v>
      </c>
      <c r="P33" s="8">
        <f t="shared" si="6"/>
        <v>-5.9200000762939453</v>
      </c>
      <c r="Q33" s="8">
        <f t="shared" si="8"/>
        <v>-5.9200000762939453</v>
      </c>
      <c r="R33" s="8">
        <f t="shared" si="7"/>
        <v>1252</v>
      </c>
      <c r="S33" s="8">
        <f t="shared" si="9"/>
        <v>1064</v>
      </c>
      <c r="T33" s="8">
        <f t="shared" si="12"/>
        <v>-949.73000407218933</v>
      </c>
      <c r="U33" s="9">
        <f t="shared" si="10"/>
        <v>949.73000407218933</v>
      </c>
      <c r="V33" s="9">
        <f t="shared" si="11"/>
        <v>0</v>
      </c>
      <c r="W33" s="9">
        <f t="shared" si="13"/>
        <v>3029.9100341796875</v>
      </c>
    </row>
    <row r="34" spans="1:34" x14ac:dyDescent="0.2">
      <c r="A34" s="47">
        <v>45804</v>
      </c>
      <c r="B34" s="48" t="s">
        <v>130</v>
      </c>
      <c r="C34" s="44">
        <v>-124</v>
      </c>
      <c r="D34" s="48" t="s">
        <v>230</v>
      </c>
      <c r="E34" s="48" t="s">
        <v>174</v>
      </c>
      <c r="F34" s="48" t="s">
        <v>103</v>
      </c>
      <c r="G34" s="49" t="s">
        <v>105</v>
      </c>
      <c r="H34" s="7"/>
      <c r="I34" s="9">
        <f t="shared" ref="I34:I65" si="14">IF(EXACT(F34,"M"),C34,0)</f>
        <v>-124</v>
      </c>
      <c r="J34" s="9">
        <f t="shared" ref="J34:J65" si="15">IF(EXACT(G34,"CheckingStarOneTXs"),C34,0)</f>
        <v>0</v>
      </c>
      <c r="K34" s="9">
        <f t="shared" ref="K34:K65" si="16">IF(AND(C34&lt;0,EXACT(G34,"VisaChaseTXs")),C34,0)</f>
        <v>-124</v>
      </c>
      <c r="L34" s="8">
        <f t="shared" ref="L34:L65" si="17">IF(AND(AND(F34="",C34&lt;0),E34=""),C34,0)</f>
        <v>0</v>
      </c>
      <c r="M34" s="8">
        <f t="shared" ref="M34:M65" si="18">IF(F34="T",C34,0)</f>
        <v>0</v>
      </c>
      <c r="N34" s="8">
        <f t="shared" ref="N34:N65" si="19">IF(D34="Transfer Savings",C34,0)</f>
        <v>0</v>
      </c>
      <c r="P34" s="8">
        <f t="shared" ref="P34:P65" si="20">IF(AND(IF(C34&lt;0,C34,FALSE),E34&lt;&gt;"y"),C34,0)</f>
        <v>-124</v>
      </c>
      <c r="Q34" s="8">
        <f t="shared" si="8"/>
        <v>-124</v>
      </c>
      <c r="R34" s="8">
        <f t="shared" ref="R34:R65" si="21">IF(ISBLANK(A34),"",ABS($AB$1-(A34+10)))</f>
        <v>1252</v>
      </c>
      <c r="S34" s="8">
        <f t="shared" si="9"/>
        <v>1064</v>
      </c>
      <c r="T34" s="8">
        <f t="shared" si="12"/>
        <v>-1073.7300040721893</v>
      </c>
      <c r="U34" s="9">
        <f t="shared" si="10"/>
        <v>1073.7300040721893</v>
      </c>
      <c r="V34" s="9">
        <f t="shared" si="11"/>
        <v>0</v>
      </c>
      <c r="W34" s="9">
        <f t="shared" si="13"/>
        <v>3029.9100341796875</v>
      </c>
    </row>
    <row r="35" spans="1:34" x14ac:dyDescent="0.2">
      <c r="A35" s="50">
        <v>45804</v>
      </c>
      <c r="B35" s="51" t="s">
        <v>231</v>
      </c>
      <c r="C35" s="45">
        <v>-50</v>
      </c>
      <c r="D35" s="51" t="s">
        <v>230</v>
      </c>
      <c r="E35" s="51" t="s">
        <v>174</v>
      </c>
      <c r="F35" s="51" t="s">
        <v>103</v>
      </c>
      <c r="G35" s="52" t="s">
        <v>105</v>
      </c>
      <c r="H35" s="7"/>
      <c r="I35" s="9">
        <f t="shared" si="14"/>
        <v>-50</v>
      </c>
      <c r="J35" s="9">
        <f t="shared" si="15"/>
        <v>0</v>
      </c>
      <c r="K35" s="9">
        <f t="shared" si="16"/>
        <v>-50</v>
      </c>
      <c r="L35" s="8">
        <f t="shared" si="17"/>
        <v>0</v>
      </c>
      <c r="M35" s="8">
        <f t="shared" si="18"/>
        <v>0</v>
      </c>
      <c r="N35" s="8">
        <f t="shared" si="19"/>
        <v>0</v>
      </c>
      <c r="P35" s="8">
        <f t="shared" si="20"/>
        <v>-50</v>
      </c>
      <c r="Q35" s="8">
        <f t="shared" si="8"/>
        <v>-50</v>
      </c>
      <c r="R35" s="8">
        <f t="shared" si="21"/>
        <v>1252</v>
      </c>
      <c r="S35" s="8">
        <f t="shared" si="9"/>
        <v>1064</v>
      </c>
      <c r="T35" s="8">
        <f t="shared" si="12"/>
        <v>-1123.7300040721893</v>
      </c>
      <c r="U35" s="9">
        <f t="shared" si="10"/>
        <v>1123.7300040721893</v>
      </c>
      <c r="V35" s="9">
        <f t="shared" si="11"/>
        <v>0</v>
      </c>
      <c r="W35" s="9">
        <f t="shared" si="13"/>
        <v>3029.9100341796875</v>
      </c>
    </row>
    <row r="36" spans="1:34" x14ac:dyDescent="0.2">
      <c r="A36" s="47">
        <v>45805</v>
      </c>
      <c r="B36" s="48" t="s">
        <v>362</v>
      </c>
      <c r="C36" s="44">
        <v>-42.830001831054688</v>
      </c>
      <c r="D36" s="48" t="s">
        <v>208</v>
      </c>
      <c r="E36" s="48" t="s">
        <v>174</v>
      </c>
      <c r="F36" s="48" t="s">
        <v>174</v>
      </c>
      <c r="G36" s="49" t="s">
        <v>105</v>
      </c>
      <c r="H36" s="7"/>
      <c r="I36" s="9">
        <f t="shared" si="14"/>
        <v>0</v>
      </c>
      <c r="J36" s="9">
        <f t="shared" si="15"/>
        <v>0</v>
      </c>
      <c r="K36" s="9">
        <f t="shared" si="16"/>
        <v>-42.830001831054688</v>
      </c>
      <c r="L36" s="8">
        <f t="shared" si="17"/>
        <v>-42.830001831054688</v>
      </c>
      <c r="M36" s="8">
        <f t="shared" si="18"/>
        <v>0</v>
      </c>
      <c r="N36" s="8">
        <f t="shared" si="19"/>
        <v>0</v>
      </c>
      <c r="P36" s="8">
        <f t="shared" si="20"/>
        <v>-42.830001831054688</v>
      </c>
      <c r="Q36" s="8">
        <f t="shared" si="8"/>
        <v>-42.830001831054688</v>
      </c>
      <c r="R36" s="8">
        <f t="shared" si="21"/>
        <v>1253</v>
      </c>
      <c r="S36" s="8">
        <f t="shared" si="9"/>
        <v>1065</v>
      </c>
      <c r="T36" s="8">
        <f t="shared" si="12"/>
        <v>-1166.560005903244</v>
      </c>
      <c r="U36" s="9">
        <f t="shared" si="10"/>
        <v>1166.560005903244</v>
      </c>
      <c r="V36" s="9">
        <f t="shared" si="11"/>
        <v>0</v>
      </c>
      <c r="W36" s="9">
        <f t="shared" si="13"/>
        <v>3029.9100341796875</v>
      </c>
    </row>
    <row r="37" spans="1:34" x14ac:dyDescent="0.2">
      <c r="A37" s="50">
        <v>45805</v>
      </c>
      <c r="B37" s="51" t="s">
        <v>363</v>
      </c>
      <c r="C37" s="45">
        <v>-24.629999160766602</v>
      </c>
      <c r="D37" s="51" t="s">
        <v>216</v>
      </c>
      <c r="E37" s="51" t="s">
        <v>174</v>
      </c>
      <c r="F37" s="51" t="s">
        <v>174</v>
      </c>
      <c r="G37" s="52" t="s">
        <v>104</v>
      </c>
      <c r="H37" s="7"/>
      <c r="I37" s="9">
        <f t="shared" si="14"/>
        <v>0</v>
      </c>
      <c r="J37" s="9">
        <f t="shared" si="15"/>
        <v>-24.629999160766602</v>
      </c>
      <c r="K37" s="9">
        <f t="shared" si="16"/>
        <v>0</v>
      </c>
      <c r="L37" s="8">
        <f t="shared" si="17"/>
        <v>-24.629999160766602</v>
      </c>
      <c r="M37" s="8">
        <f t="shared" si="18"/>
        <v>0</v>
      </c>
      <c r="N37" s="8">
        <f t="shared" si="19"/>
        <v>0</v>
      </c>
      <c r="P37" s="8">
        <f t="shared" si="20"/>
        <v>-24.629999160766602</v>
      </c>
      <c r="Q37" s="8">
        <f t="shared" ref="Q37:Q91" si="22">P37</f>
        <v>-24.629999160766602</v>
      </c>
      <c r="R37" s="8">
        <f t="shared" si="21"/>
        <v>1253</v>
      </c>
      <c r="S37" s="8">
        <f t="shared" si="9"/>
        <v>1065</v>
      </c>
      <c r="T37" s="8">
        <f t="shared" ref="T37:T42" si="23">T36+Q37</f>
        <v>-1191.1900050640106</v>
      </c>
      <c r="U37" s="9">
        <f t="shared" si="10"/>
        <v>1191.1900050640106</v>
      </c>
      <c r="V37" s="9">
        <f t="shared" si="11"/>
        <v>0</v>
      </c>
      <c r="W37" s="9">
        <f t="shared" si="13"/>
        <v>3029.9100341796875</v>
      </c>
    </row>
    <row r="38" spans="1:34" x14ac:dyDescent="0.2">
      <c r="A38" s="47">
        <v>45805</v>
      </c>
      <c r="B38" s="48" t="s">
        <v>138</v>
      </c>
      <c r="C38" s="44">
        <v>-25.530000686645508</v>
      </c>
      <c r="D38" s="48" t="s">
        <v>206</v>
      </c>
      <c r="E38" s="48" t="s">
        <v>174</v>
      </c>
      <c r="F38" s="48" t="s">
        <v>174</v>
      </c>
      <c r="G38" s="49" t="s">
        <v>104</v>
      </c>
      <c r="H38" s="7"/>
      <c r="I38" s="9">
        <f t="shared" si="14"/>
        <v>0</v>
      </c>
      <c r="J38" s="9">
        <f t="shared" si="15"/>
        <v>-25.530000686645508</v>
      </c>
      <c r="K38" s="9">
        <f t="shared" si="16"/>
        <v>0</v>
      </c>
      <c r="L38" s="8">
        <f t="shared" si="17"/>
        <v>-25.530000686645508</v>
      </c>
      <c r="M38" s="8">
        <f t="shared" si="18"/>
        <v>0</v>
      </c>
      <c r="N38" s="8">
        <f t="shared" si="19"/>
        <v>0</v>
      </c>
      <c r="P38" s="8">
        <f t="shared" si="20"/>
        <v>-25.530000686645508</v>
      </c>
      <c r="Q38" s="8">
        <f t="shared" si="22"/>
        <v>-25.530000686645508</v>
      </c>
      <c r="R38" s="8">
        <f t="shared" si="21"/>
        <v>1253</v>
      </c>
      <c r="S38" s="8">
        <f t="shared" si="9"/>
        <v>1065</v>
      </c>
      <c r="T38" s="8">
        <f t="shared" si="23"/>
        <v>-1216.7200057506561</v>
      </c>
      <c r="U38" s="9">
        <f t="shared" si="10"/>
        <v>1216.7200057506561</v>
      </c>
      <c r="V38" s="9">
        <f t="shared" si="11"/>
        <v>0</v>
      </c>
      <c r="W38" s="9">
        <f t="shared" si="13"/>
        <v>3029.9100341796875</v>
      </c>
      <c r="AF38">
        <v>7</v>
      </c>
      <c r="AG38">
        <v>31</v>
      </c>
      <c r="AH38">
        <f>(7*31+4*30+28)/12</f>
        <v>30.416666666666668</v>
      </c>
    </row>
    <row r="39" spans="1:34" x14ac:dyDescent="0.2">
      <c r="A39" s="50">
        <v>45805</v>
      </c>
      <c r="B39" s="51" t="s">
        <v>138</v>
      </c>
      <c r="C39" s="45">
        <v>-2.2899999618530273</v>
      </c>
      <c r="D39" s="51" t="s">
        <v>206</v>
      </c>
      <c r="E39" s="51" t="s">
        <v>174</v>
      </c>
      <c r="F39" s="51" t="s">
        <v>174</v>
      </c>
      <c r="G39" s="52" t="s">
        <v>104</v>
      </c>
      <c r="H39" s="7"/>
      <c r="I39" s="9">
        <f t="shared" si="14"/>
        <v>0</v>
      </c>
      <c r="J39" s="9">
        <f t="shared" si="15"/>
        <v>-2.2899999618530273</v>
      </c>
      <c r="K39" s="9">
        <f t="shared" si="16"/>
        <v>0</v>
      </c>
      <c r="L39" s="8">
        <f t="shared" si="17"/>
        <v>-2.2899999618530273</v>
      </c>
      <c r="M39" s="8">
        <f t="shared" si="18"/>
        <v>0</v>
      </c>
      <c r="N39" s="8">
        <f t="shared" si="19"/>
        <v>0</v>
      </c>
      <c r="P39" s="8">
        <f t="shared" si="20"/>
        <v>-2.2899999618530273</v>
      </c>
      <c r="Q39" s="8">
        <f t="shared" si="22"/>
        <v>-2.2899999618530273</v>
      </c>
      <c r="R39" s="8">
        <f t="shared" si="21"/>
        <v>1253</v>
      </c>
      <c r="S39" s="8">
        <f t="shared" si="9"/>
        <v>1065</v>
      </c>
      <c r="T39" s="8">
        <f t="shared" si="23"/>
        <v>-1219.0100057125092</v>
      </c>
      <c r="U39" s="9">
        <f t="shared" si="10"/>
        <v>1219.0100057125092</v>
      </c>
      <c r="V39" s="9">
        <f t="shared" si="11"/>
        <v>0</v>
      </c>
      <c r="W39" s="9">
        <f t="shared" si="13"/>
        <v>3029.9100341796875</v>
      </c>
      <c r="AF39">
        <v>4</v>
      </c>
      <c r="AG39">
        <v>30</v>
      </c>
    </row>
    <row r="40" spans="1:34" x14ac:dyDescent="0.2">
      <c r="A40" s="47">
        <v>45805</v>
      </c>
      <c r="B40" s="48" t="s">
        <v>254</v>
      </c>
      <c r="C40" s="44">
        <v>-12.760000228881836</v>
      </c>
      <c r="D40" s="48" t="s">
        <v>206</v>
      </c>
      <c r="E40" s="48" t="s">
        <v>174</v>
      </c>
      <c r="F40" s="48" t="s">
        <v>174</v>
      </c>
      <c r="G40" s="49" t="s">
        <v>104</v>
      </c>
      <c r="H40" s="7"/>
      <c r="I40" s="9">
        <f t="shared" si="14"/>
        <v>0</v>
      </c>
      <c r="J40" s="9">
        <f t="shared" si="15"/>
        <v>-12.760000228881836</v>
      </c>
      <c r="K40" s="9">
        <f t="shared" si="16"/>
        <v>0</v>
      </c>
      <c r="L40" s="8">
        <f t="shared" si="17"/>
        <v>-12.760000228881836</v>
      </c>
      <c r="M40" s="8">
        <f t="shared" si="18"/>
        <v>0</v>
      </c>
      <c r="N40" s="8">
        <f t="shared" si="19"/>
        <v>0</v>
      </c>
      <c r="P40" s="8">
        <f t="shared" si="20"/>
        <v>-12.760000228881836</v>
      </c>
      <c r="Q40" s="8">
        <f t="shared" si="22"/>
        <v>-12.760000228881836</v>
      </c>
      <c r="R40" s="8">
        <f t="shared" si="21"/>
        <v>1253</v>
      </c>
      <c r="S40" s="8">
        <f t="shared" si="9"/>
        <v>1065</v>
      </c>
      <c r="T40" s="8">
        <f t="shared" si="23"/>
        <v>-1231.770005941391</v>
      </c>
      <c r="U40" s="9">
        <f t="shared" si="10"/>
        <v>1231.770005941391</v>
      </c>
      <c r="V40" s="9">
        <f t="shared" si="11"/>
        <v>0</v>
      </c>
      <c r="W40" s="9">
        <f t="shared" si="13"/>
        <v>3029.9100341796875</v>
      </c>
      <c r="Z40" s="4" t="s">
        <v>15</v>
      </c>
      <c r="AF40">
        <v>1</v>
      </c>
      <c r="AG40">
        <v>28</v>
      </c>
    </row>
    <row r="41" spans="1:34" x14ac:dyDescent="0.2">
      <c r="A41" s="50">
        <v>45805</v>
      </c>
      <c r="B41" s="51" t="s">
        <v>336</v>
      </c>
      <c r="C41" s="45">
        <v>98.529998779296875</v>
      </c>
      <c r="D41" s="51" t="s">
        <v>337</v>
      </c>
      <c r="E41" s="51" t="s">
        <v>174</v>
      </c>
      <c r="F41" s="51" t="s">
        <v>174</v>
      </c>
      <c r="G41" s="52" t="s">
        <v>105</v>
      </c>
      <c r="H41" s="7"/>
      <c r="I41" s="9">
        <f t="shared" si="14"/>
        <v>0</v>
      </c>
      <c r="J41" s="9">
        <f t="shared" si="15"/>
        <v>0</v>
      </c>
      <c r="K41" s="9">
        <f t="shared" si="16"/>
        <v>0</v>
      </c>
      <c r="L41" s="8">
        <f t="shared" si="17"/>
        <v>0</v>
      </c>
      <c r="M41" s="8">
        <f t="shared" si="18"/>
        <v>0</v>
      </c>
      <c r="N41" s="8">
        <f t="shared" si="19"/>
        <v>0</v>
      </c>
      <c r="P41" s="8">
        <f t="shared" si="20"/>
        <v>0</v>
      </c>
      <c r="Q41" s="8">
        <f t="shared" si="22"/>
        <v>0</v>
      </c>
      <c r="R41" s="8">
        <f t="shared" si="21"/>
        <v>1253</v>
      </c>
      <c r="S41" s="8">
        <f t="shared" si="9"/>
        <v>1065</v>
      </c>
      <c r="T41" s="8">
        <f t="shared" si="23"/>
        <v>-1231.770005941391</v>
      </c>
      <c r="U41" s="9">
        <f t="shared" si="10"/>
        <v>1231.770005941391</v>
      </c>
      <c r="V41" s="9">
        <f t="shared" si="11"/>
        <v>98.529998779296875</v>
      </c>
      <c r="W41" s="9">
        <f t="shared" si="13"/>
        <v>3128.4400329589844</v>
      </c>
      <c r="Z41" s="11">
        <f>ABS(MandatoryCalcs!C45)</f>
        <v>0</v>
      </c>
    </row>
    <row r="42" spans="1:34" x14ac:dyDescent="0.2">
      <c r="A42" s="47">
        <v>45805</v>
      </c>
      <c r="B42" s="48" t="s">
        <v>129</v>
      </c>
      <c r="C42" s="44">
        <v>-12</v>
      </c>
      <c r="D42" s="48" t="s">
        <v>229</v>
      </c>
      <c r="E42" s="48" t="s">
        <v>174</v>
      </c>
      <c r="F42" s="48" t="s">
        <v>174</v>
      </c>
      <c r="G42" s="49" t="s">
        <v>105</v>
      </c>
      <c r="H42" s="7"/>
      <c r="I42" s="9">
        <f t="shared" si="14"/>
        <v>0</v>
      </c>
      <c r="J42" s="9">
        <f t="shared" si="15"/>
        <v>0</v>
      </c>
      <c r="K42" s="9">
        <f t="shared" si="16"/>
        <v>-12</v>
      </c>
      <c r="L42" s="8">
        <f t="shared" si="17"/>
        <v>-12</v>
      </c>
      <c r="M42" s="8">
        <f t="shared" si="18"/>
        <v>0</v>
      </c>
      <c r="N42" s="8">
        <f t="shared" si="19"/>
        <v>0</v>
      </c>
      <c r="P42" s="8">
        <f t="shared" si="20"/>
        <v>-12</v>
      </c>
      <c r="Q42" s="8">
        <f t="shared" si="22"/>
        <v>-12</v>
      </c>
      <c r="R42" s="8">
        <f t="shared" si="21"/>
        <v>1253</v>
      </c>
      <c r="S42" s="8">
        <f t="shared" si="9"/>
        <v>1065</v>
      </c>
      <c r="T42" s="8">
        <f t="shared" si="23"/>
        <v>-1243.770005941391</v>
      </c>
      <c r="U42" s="9">
        <f t="shared" si="10"/>
        <v>1243.770005941391</v>
      </c>
      <c r="V42" s="9">
        <f t="shared" si="11"/>
        <v>0</v>
      </c>
      <c r="W42" s="9">
        <f t="shared" si="13"/>
        <v>3128.4400329589844</v>
      </c>
    </row>
    <row r="43" spans="1:34" x14ac:dyDescent="0.2">
      <c r="A43" s="50">
        <v>45805</v>
      </c>
      <c r="B43" s="51" t="s">
        <v>129</v>
      </c>
      <c r="C43" s="45">
        <v>12</v>
      </c>
      <c r="D43" s="51" t="s">
        <v>229</v>
      </c>
      <c r="E43" s="51" t="s">
        <v>174</v>
      </c>
      <c r="F43" s="51" t="s">
        <v>174</v>
      </c>
      <c r="G43" s="52" t="s">
        <v>105</v>
      </c>
      <c r="H43" s="7"/>
      <c r="I43" s="9">
        <f t="shared" si="14"/>
        <v>0</v>
      </c>
      <c r="J43" s="9">
        <f t="shared" si="15"/>
        <v>0</v>
      </c>
      <c r="K43" s="9">
        <f t="shared" si="16"/>
        <v>0</v>
      </c>
      <c r="L43" s="8">
        <f t="shared" si="17"/>
        <v>0</v>
      </c>
      <c r="M43" s="8">
        <f t="shared" si="18"/>
        <v>0</v>
      </c>
      <c r="N43" s="8">
        <f t="shared" si="19"/>
        <v>0</v>
      </c>
      <c r="P43" s="8">
        <f t="shared" si="20"/>
        <v>0</v>
      </c>
      <c r="Q43" s="8">
        <f t="shared" si="22"/>
        <v>0</v>
      </c>
      <c r="R43" s="8">
        <f t="shared" si="21"/>
        <v>1253</v>
      </c>
      <c r="S43" s="8">
        <f t="shared" si="9"/>
        <v>1065</v>
      </c>
      <c r="T43" s="8">
        <f t="shared" ref="T43:T91" si="24">T42+Q43</f>
        <v>-1243.770005941391</v>
      </c>
      <c r="U43" s="9">
        <f t="shared" si="10"/>
        <v>1243.770005941391</v>
      </c>
      <c r="V43" s="9">
        <f t="shared" si="11"/>
        <v>12</v>
      </c>
      <c r="W43" s="9">
        <f t="shared" si="13"/>
        <v>3140.4400329589844</v>
      </c>
    </row>
    <row r="44" spans="1:34" x14ac:dyDescent="0.2">
      <c r="A44" s="47">
        <v>45805</v>
      </c>
      <c r="B44" s="48" t="s">
        <v>364</v>
      </c>
      <c r="C44" s="44">
        <v>-515</v>
      </c>
      <c r="D44" s="48" t="s">
        <v>223</v>
      </c>
      <c r="E44" s="48" t="s">
        <v>174</v>
      </c>
      <c r="F44" s="48" t="s">
        <v>174</v>
      </c>
      <c r="G44" s="49" t="s">
        <v>105</v>
      </c>
      <c r="H44" s="7"/>
      <c r="I44" s="9">
        <f t="shared" si="14"/>
        <v>0</v>
      </c>
      <c r="J44" s="9">
        <f t="shared" si="15"/>
        <v>0</v>
      </c>
      <c r="K44" s="9">
        <f t="shared" si="16"/>
        <v>-515</v>
      </c>
      <c r="L44" s="8">
        <f t="shared" si="17"/>
        <v>-515</v>
      </c>
      <c r="M44" s="8">
        <f t="shared" si="18"/>
        <v>0</v>
      </c>
      <c r="N44" s="8">
        <f t="shared" si="19"/>
        <v>0</v>
      </c>
      <c r="P44" s="8">
        <f t="shared" si="20"/>
        <v>-515</v>
      </c>
      <c r="Q44" s="8">
        <f t="shared" si="22"/>
        <v>-515</v>
      </c>
      <c r="R44" s="8">
        <f t="shared" si="21"/>
        <v>1253</v>
      </c>
      <c r="S44" s="8">
        <f t="shared" si="9"/>
        <v>1065</v>
      </c>
      <c r="T44" s="8">
        <f t="shared" si="24"/>
        <v>-1758.770005941391</v>
      </c>
      <c r="U44" s="9">
        <f t="shared" si="10"/>
        <v>1758.770005941391</v>
      </c>
      <c r="V44" s="9">
        <f t="shared" si="11"/>
        <v>0</v>
      </c>
      <c r="W44" s="9">
        <f t="shared" si="13"/>
        <v>3140.4400329589844</v>
      </c>
    </row>
    <row r="45" spans="1:34" x14ac:dyDescent="0.2">
      <c r="A45" s="50">
        <v>45805</v>
      </c>
      <c r="B45" s="51" t="s">
        <v>365</v>
      </c>
      <c r="C45" s="45">
        <v>-73.330001831054688</v>
      </c>
      <c r="D45" s="51" t="s">
        <v>235</v>
      </c>
      <c r="E45" s="51" t="s">
        <v>174</v>
      </c>
      <c r="F45" s="51" t="s">
        <v>174</v>
      </c>
      <c r="G45" s="52" t="s">
        <v>105</v>
      </c>
      <c r="H45" s="7"/>
      <c r="I45" s="9">
        <f t="shared" si="14"/>
        <v>0</v>
      </c>
      <c r="J45" s="9">
        <f t="shared" si="15"/>
        <v>0</v>
      </c>
      <c r="K45" s="9">
        <f t="shared" si="16"/>
        <v>-73.330001831054688</v>
      </c>
      <c r="L45" s="8">
        <f t="shared" si="17"/>
        <v>-73.330001831054688</v>
      </c>
      <c r="M45" s="8">
        <f t="shared" si="18"/>
        <v>0</v>
      </c>
      <c r="N45" s="8">
        <f t="shared" si="19"/>
        <v>0</v>
      </c>
      <c r="P45" s="8">
        <f t="shared" si="20"/>
        <v>-73.330001831054688</v>
      </c>
      <c r="Q45" s="8">
        <f t="shared" si="22"/>
        <v>-73.330001831054688</v>
      </c>
      <c r="R45" s="8">
        <f t="shared" si="21"/>
        <v>1253</v>
      </c>
      <c r="S45" s="8">
        <f t="shared" si="9"/>
        <v>1065</v>
      </c>
      <c r="T45" s="8">
        <f t="shared" si="24"/>
        <v>-1832.1000077724457</v>
      </c>
      <c r="U45" s="9">
        <f t="shared" si="10"/>
        <v>1832.1000077724457</v>
      </c>
      <c r="V45" s="9">
        <f t="shared" si="11"/>
        <v>0</v>
      </c>
      <c r="W45" s="9">
        <f t="shared" si="13"/>
        <v>3140.4400329589844</v>
      </c>
    </row>
    <row r="46" spans="1:34" x14ac:dyDescent="0.2">
      <c r="A46" s="47">
        <v>45805</v>
      </c>
      <c r="B46" s="48" t="s">
        <v>366</v>
      </c>
      <c r="C46" s="44">
        <v>-441.8800048828125</v>
      </c>
      <c r="D46" s="48" t="s">
        <v>217</v>
      </c>
      <c r="E46" s="48" t="s">
        <v>174</v>
      </c>
      <c r="F46" s="48" t="s">
        <v>174</v>
      </c>
      <c r="G46" s="49" t="s">
        <v>104</v>
      </c>
      <c r="H46" s="7"/>
      <c r="I46" s="9">
        <f t="shared" si="14"/>
        <v>0</v>
      </c>
      <c r="J46" s="9">
        <f t="shared" si="15"/>
        <v>-441.8800048828125</v>
      </c>
      <c r="K46" s="9">
        <f t="shared" si="16"/>
        <v>0</v>
      </c>
      <c r="L46" s="8">
        <f t="shared" si="17"/>
        <v>-441.8800048828125</v>
      </c>
      <c r="M46" s="8">
        <f t="shared" si="18"/>
        <v>0</v>
      </c>
      <c r="N46" s="8">
        <f t="shared" si="19"/>
        <v>0</v>
      </c>
      <c r="P46" s="8">
        <f t="shared" si="20"/>
        <v>-441.8800048828125</v>
      </c>
      <c r="Q46" s="8">
        <f t="shared" si="22"/>
        <v>-441.8800048828125</v>
      </c>
      <c r="R46" s="8">
        <f t="shared" si="21"/>
        <v>1253</v>
      </c>
      <c r="S46" s="8">
        <f t="shared" si="9"/>
        <v>1065</v>
      </c>
      <c r="T46" s="8">
        <f t="shared" si="24"/>
        <v>-2273.9800126552582</v>
      </c>
      <c r="U46" s="9">
        <f t="shared" si="10"/>
        <v>2273.9800126552582</v>
      </c>
      <c r="V46" s="9">
        <f t="shared" si="11"/>
        <v>0</v>
      </c>
      <c r="W46" s="9">
        <f t="shared" si="13"/>
        <v>3140.4400329589844</v>
      </c>
    </row>
    <row r="47" spans="1:34" x14ac:dyDescent="0.2">
      <c r="A47" s="50">
        <v>45805</v>
      </c>
      <c r="B47" s="51" t="s">
        <v>228</v>
      </c>
      <c r="C47" s="45">
        <v>-59.459999084472656</v>
      </c>
      <c r="D47" s="51" t="s">
        <v>216</v>
      </c>
      <c r="E47" s="51" t="s">
        <v>174</v>
      </c>
      <c r="F47" s="51" t="s">
        <v>174</v>
      </c>
      <c r="G47" s="52" t="s">
        <v>104</v>
      </c>
      <c r="H47" s="7"/>
      <c r="I47" s="9">
        <f t="shared" si="14"/>
        <v>0</v>
      </c>
      <c r="J47" s="9">
        <f t="shared" si="15"/>
        <v>-59.459999084472656</v>
      </c>
      <c r="K47" s="9">
        <f t="shared" si="16"/>
        <v>0</v>
      </c>
      <c r="L47" s="8">
        <f t="shared" si="17"/>
        <v>-59.459999084472656</v>
      </c>
      <c r="M47" s="8">
        <f t="shared" si="18"/>
        <v>0</v>
      </c>
      <c r="N47" s="8">
        <f t="shared" si="19"/>
        <v>0</v>
      </c>
      <c r="P47" s="8">
        <f t="shared" si="20"/>
        <v>-59.459999084472656</v>
      </c>
      <c r="Q47" s="8">
        <f t="shared" si="22"/>
        <v>-59.459999084472656</v>
      </c>
      <c r="R47" s="8">
        <f t="shared" si="21"/>
        <v>1253</v>
      </c>
      <c r="S47" s="8">
        <f t="shared" si="9"/>
        <v>1065</v>
      </c>
      <c r="T47" s="8">
        <f t="shared" si="24"/>
        <v>-2333.4400117397308</v>
      </c>
      <c r="U47" s="9">
        <f t="shared" si="10"/>
        <v>2333.4400117397308</v>
      </c>
      <c r="V47" s="9">
        <f t="shared" si="11"/>
        <v>0</v>
      </c>
      <c r="W47" s="9">
        <f t="shared" si="13"/>
        <v>3140.4400329589844</v>
      </c>
    </row>
    <row r="48" spans="1:34" x14ac:dyDescent="0.2">
      <c r="A48" s="47">
        <v>45806</v>
      </c>
      <c r="B48" s="48" t="s">
        <v>367</v>
      </c>
      <c r="C48" s="44">
        <v>-14.989999771118164</v>
      </c>
      <c r="D48" s="48" t="s">
        <v>211</v>
      </c>
      <c r="E48" s="48" t="s">
        <v>174</v>
      </c>
      <c r="F48" s="48" t="s">
        <v>174</v>
      </c>
      <c r="G48" s="49" t="s">
        <v>105</v>
      </c>
      <c r="H48" s="7"/>
      <c r="I48" s="9">
        <f t="shared" si="14"/>
        <v>0</v>
      </c>
      <c r="J48" s="9">
        <f t="shared" si="15"/>
        <v>0</v>
      </c>
      <c r="K48" s="9">
        <f t="shared" si="16"/>
        <v>-14.989999771118164</v>
      </c>
      <c r="L48" s="8">
        <f t="shared" si="17"/>
        <v>-14.989999771118164</v>
      </c>
      <c r="M48" s="8">
        <f t="shared" si="18"/>
        <v>0</v>
      </c>
      <c r="N48" s="8">
        <f t="shared" si="19"/>
        <v>0</v>
      </c>
      <c r="P48" s="8">
        <f t="shared" si="20"/>
        <v>-14.989999771118164</v>
      </c>
      <c r="Q48" s="8">
        <f t="shared" si="22"/>
        <v>-14.989999771118164</v>
      </c>
      <c r="R48" s="8">
        <f t="shared" si="21"/>
        <v>1254</v>
      </c>
      <c r="S48" s="8">
        <f t="shared" si="9"/>
        <v>1066</v>
      </c>
      <c r="T48" s="8">
        <f t="shared" si="24"/>
        <v>-2348.430011510849</v>
      </c>
      <c r="U48" s="9">
        <f t="shared" si="10"/>
        <v>2348.430011510849</v>
      </c>
      <c r="V48" s="9">
        <f t="shared" si="11"/>
        <v>0</v>
      </c>
      <c r="W48" s="9">
        <f t="shared" si="13"/>
        <v>3140.4400329589844</v>
      </c>
    </row>
    <row r="49" spans="1:23" x14ac:dyDescent="0.2">
      <c r="A49" s="50">
        <v>45806</v>
      </c>
      <c r="B49" s="51" t="s">
        <v>368</v>
      </c>
      <c r="C49" s="45">
        <v>15.159999847412109</v>
      </c>
      <c r="D49" s="51" t="s">
        <v>213</v>
      </c>
      <c r="E49" s="51" t="s">
        <v>174</v>
      </c>
      <c r="F49" s="51" t="s">
        <v>174</v>
      </c>
      <c r="G49" s="52" t="s">
        <v>104</v>
      </c>
      <c r="H49" s="7"/>
      <c r="I49" s="9">
        <f t="shared" si="14"/>
        <v>0</v>
      </c>
      <c r="J49" s="9">
        <f t="shared" si="15"/>
        <v>15.159999847412109</v>
      </c>
      <c r="K49" s="9">
        <f t="shared" si="16"/>
        <v>0</v>
      </c>
      <c r="L49" s="8">
        <f t="shared" si="17"/>
        <v>0</v>
      </c>
      <c r="M49" s="8">
        <f t="shared" si="18"/>
        <v>0</v>
      </c>
      <c r="N49" s="8">
        <f t="shared" si="19"/>
        <v>0</v>
      </c>
      <c r="P49" s="8">
        <f t="shared" si="20"/>
        <v>0</v>
      </c>
      <c r="Q49" s="8">
        <f t="shared" si="22"/>
        <v>0</v>
      </c>
      <c r="R49" s="8">
        <f t="shared" si="21"/>
        <v>1254</v>
      </c>
      <c r="S49" s="8">
        <f t="shared" si="9"/>
        <v>1066</v>
      </c>
      <c r="T49" s="8">
        <f t="shared" si="24"/>
        <v>-2348.430011510849</v>
      </c>
      <c r="U49" s="9">
        <f t="shared" si="10"/>
        <v>2348.430011510849</v>
      </c>
      <c r="V49" s="9">
        <f t="shared" si="11"/>
        <v>15.159999847412109</v>
      </c>
      <c r="W49" s="9">
        <f t="shared" si="13"/>
        <v>3155.6000328063965</v>
      </c>
    </row>
    <row r="50" spans="1:23" x14ac:dyDescent="0.2">
      <c r="A50" s="47">
        <v>45807</v>
      </c>
      <c r="B50" s="48" t="s">
        <v>240</v>
      </c>
      <c r="C50" s="44">
        <v>617.6500244140625</v>
      </c>
      <c r="D50" s="48" t="s">
        <v>213</v>
      </c>
      <c r="E50" s="48" t="s">
        <v>174</v>
      </c>
      <c r="F50" s="48" t="s">
        <v>174</v>
      </c>
      <c r="G50" s="49" t="s">
        <v>104</v>
      </c>
      <c r="H50" s="7"/>
      <c r="I50" s="9">
        <f t="shared" si="14"/>
        <v>0</v>
      </c>
      <c r="J50" s="9">
        <f t="shared" si="15"/>
        <v>617.6500244140625</v>
      </c>
      <c r="K50" s="9">
        <f t="shared" si="16"/>
        <v>0</v>
      </c>
      <c r="L50" s="8">
        <f t="shared" si="17"/>
        <v>0</v>
      </c>
      <c r="M50" s="8">
        <f t="shared" si="18"/>
        <v>0</v>
      </c>
      <c r="N50" s="8">
        <f t="shared" si="19"/>
        <v>0</v>
      </c>
      <c r="P50" s="8">
        <f t="shared" si="20"/>
        <v>0</v>
      </c>
      <c r="Q50" s="8">
        <f t="shared" si="22"/>
        <v>0</v>
      </c>
      <c r="R50" s="8">
        <f t="shared" si="21"/>
        <v>1255</v>
      </c>
      <c r="S50" s="8">
        <f t="shared" si="9"/>
        <v>1067</v>
      </c>
      <c r="T50" s="8">
        <f t="shared" si="24"/>
        <v>-2348.430011510849</v>
      </c>
      <c r="U50" s="9">
        <f t="shared" si="10"/>
        <v>2348.430011510849</v>
      </c>
      <c r="V50" s="9">
        <f t="shared" si="11"/>
        <v>617.6500244140625</v>
      </c>
      <c r="W50" s="9">
        <f t="shared" si="13"/>
        <v>3773.250057220459</v>
      </c>
    </row>
    <row r="51" spans="1:23" x14ac:dyDescent="0.2">
      <c r="A51" s="50">
        <v>45807</v>
      </c>
      <c r="B51" s="51" t="s">
        <v>369</v>
      </c>
      <c r="C51" s="45">
        <v>-16.479999542236328</v>
      </c>
      <c r="D51" s="51" t="s">
        <v>226</v>
      </c>
      <c r="E51" s="51" t="s">
        <v>174</v>
      </c>
      <c r="F51" s="51" t="s">
        <v>174</v>
      </c>
      <c r="G51" s="52" t="s">
        <v>105</v>
      </c>
      <c r="H51" s="7"/>
      <c r="I51" s="9">
        <f t="shared" si="14"/>
        <v>0</v>
      </c>
      <c r="J51" s="9">
        <f t="shared" si="15"/>
        <v>0</v>
      </c>
      <c r="K51" s="9">
        <f t="shared" si="16"/>
        <v>-16.479999542236328</v>
      </c>
      <c r="L51" s="8">
        <f t="shared" si="17"/>
        <v>-16.479999542236328</v>
      </c>
      <c r="M51" s="8">
        <f t="shared" si="18"/>
        <v>0</v>
      </c>
      <c r="N51" s="8">
        <f t="shared" si="19"/>
        <v>0</v>
      </c>
      <c r="P51" s="8">
        <f t="shared" si="20"/>
        <v>-16.479999542236328</v>
      </c>
      <c r="Q51" s="8">
        <f t="shared" si="22"/>
        <v>-16.479999542236328</v>
      </c>
      <c r="R51" s="8">
        <f t="shared" si="21"/>
        <v>1255</v>
      </c>
      <c r="S51" s="8">
        <f t="shared" si="9"/>
        <v>1067</v>
      </c>
      <c r="T51" s="8">
        <f t="shared" si="24"/>
        <v>-2364.9100110530853</v>
      </c>
      <c r="U51" s="9">
        <f t="shared" si="10"/>
        <v>2364.9100110530853</v>
      </c>
      <c r="V51" s="9">
        <f t="shared" si="11"/>
        <v>0</v>
      </c>
      <c r="W51" s="9">
        <f t="shared" si="13"/>
        <v>3773.250057220459</v>
      </c>
    </row>
    <row r="52" spans="1:23" x14ac:dyDescent="0.2">
      <c r="A52" s="47">
        <v>45808</v>
      </c>
      <c r="B52" s="48" t="s">
        <v>127</v>
      </c>
      <c r="C52" s="44">
        <v>15.979999542236328</v>
      </c>
      <c r="D52" s="48" t="s">
        <v>213</v>
      </c>
      <c r="E52" s="48" t="s">
        <v>174</v>
      </c>
      <c r="F52" s="48" t="s">
        <v>174</v>
      </c>
      <c r="G52" s="49" t="s">
        <v>104</v>
      </c>
      <c r="H52" s="7"/>
      <c r="I52" s="9">
        <f t="shared" si="14"/>
        <v>0</v>
      </c>
      <c r="J52" s="9">
        <f t="shared" si="15"/>
        <v>15.979999542236328</v>
      </c>
      <c r="K52" s="9">
        <f t="shared" si="16"/>
        <v>0</v>
      </c>
      <c r="L52" s="8">
        <f t="shared" si="17"/>
        <v>0</v>
      </c>
      <c r="M52" s="8">
        <f t="shared" si="18"/>
        <v>0</v>
      </c>
      <c r="N52" s="8">
        <f t="shared" si="19"/>
        <v>0</v>
      </c>
      <c r="P52" s="8">
        <f t="shared" si="20"/>
        <v>0</v>
      </c>
      <c r="Q52" s="8">
        <f t="shared" si="22"/>
        <v>0</v>
      </c>
      <c r="R52" s="8">
        <f t="shared" si="21"/>
        <v>1256</v>
      </c>
      <c r="S52" s="8">
        <f t="shared" si="9"/>
        <v>1068</v>
      </c>
      <c r="T52" s="8">
        <f t="shared" si="24"/>
        <v>-2364.9100110530853</v>
      </c>
      <c r="U52" s="9">
        <f t="shared" si="10"/>
        <v>2364.9100110530853</v>
      </c>
      <c r="V52" s="9">
        <f t="shared" si="11"/>
        <v>15.979999542236328</v>
      </c>
      <c r="W52" s="9">
        <f t="shared" si="13"/>
        <v>3789.2300567626953</v>
      </c>
    </row>
    <row r="53" spans="1:23" x14ac:dyDescent="0.2">
      <c r="A53" s="50">
        <v>45809</v>
      </c>
      <c r="B53" s="51" t="s">
        <v>116</v>
      </c>
      <c r="C53" s="45">
        <v>-9.9899997711181641</v>
      </c>
      <c r="D53" s="51" t="s">
        <v>211</v>
      </c>
      <c r="E53" s="51" t="s">
        <v>174</v>
      </c>
      <c r="F53" s="51" t="s">
        <v>103</v>
      </c>
      <c r="G53" s="52" t="s">
        <v>105</v>
      </c>
      <c r="H53" s="7"/>
      <c r="I53" s="9">
        <f t="shared" si="14"/>
        <v>-9.9899997711181641</v>
      </c>
      <c r="J53" s="9">
        <f t="shared" si="15"/>
        <v>0</v>
      </c>
      <c r="K53" s="9">
        <f t="shared" si="16"/>
        <v>-9.9899997711181641</v>
      </c>
      <c r="L53" s="8">
        <f t="shared" si="17"/>
        <v>0</v>
      </c>
      <c r="M53" s="8">
        <f t="shared" si="18"/>
        <v>0</v>
      </c>
      <c r="N53" s="8">
        <f t="shared" si="19"/>
        <v>0</v>
      </c>
      <c r="P53" s="8">
        <f t="shared" si="20"/>
        <v>-9.9899997711181641</v>
      </c>
      <c r="Q53" s="8">
        <f t="shared" si="22"/>
        <v>-9.9899997711181641</v>
      </c>
      <c r="R53" s="8">
        <f t="shared" si="21"/>
        <v>1257</v>
      </c>
      <c r="S53" s="8">
        <f t="shared" si="9"/>
        <v>1069</v>
      </c>
      <c r="T53" s="8">
        <f t="shared" si="24"/>
        <v>-2374.9000108242035</v>
      </c>
      <c r="U53" s="9">
        <f t="shared" si="10"/>
        <v>2374.9000108242035</v>
      </c>
      <c r="V53" s="9">
        <f t="shared" si="11"/>
        <v>0</v>
      </c>
      <c r="W53" s="9">
        <f t="shared" si="13"/>
        <v>3789.2300567626953</v>
      </c>
    </row>
    <row r="54" spans="1:23" x14ac:dyDescent="0.2">
      <c r="A54" s="47">
        <v>45810</v>
      </c>
      <c r="B54" s="48" t="s">
        <v>373</v>
      </c>
      <c r="C54" s="44">
        <v>3.5</v>
      </c>
      <c r="D54" s="48" t="s">
        <v>126</v>
      </c>
      <c r="E54" s="48" t="s">
        <v>174</v>
      </c>
      <c r="F54" s="48" t="s">
        <v>174</v>
      </c>
      <c r="G54" s="49" t="s">
        <v>104</v>
      </c>
      <c r="H54" s="7"/>
      <c r="I54" s="9">
        <f t="shared" si="14"/>
        <v>0</v>
      </c>
      <c r="J54" s="9">
        <f t="shared" si="15"/>
        <v>3.5</v>
      </c>
      <c r="K54" s="9">
        <f t="shared" si="16"/>
        <v>0</v>
      </c>
      <c r="L54" s="8">
        <f t="shared" si="17"/>
        <v>0</v>
      </c>
      <c r="M54" s="8">
        <f t="shared" si="18"/>
        <v>0</v>
      </c>
      <c r="N54" s="8">
        <f t="shared" si="19"/>
        <v>0</v>
      </c>
      <c r="P54" s="8">
        <f t="shared" si="20"/>
        <v>0</v>
      </c>
      <c r="Q54" s="8">
        <f t="shared" si="22"/>
        <v>0</v>
      </c>
      <c r="R54" s="8">
        <f t="shared" si="21"/>
        <v>1258</v>
      </c>
      <c r="S54" s="8">
        <f t="shared" si="9"/>
        <v>1070</v>
      </c>
      <c r="T54" s="8">
        <f t="shared" si="24"/>
        <v>-2374.9000108242035</v>
      </c>
      <c r="U54" s="9">
        <f t="shared" si="10"/>
        <v>2374.9000108242035</v>
      </c>
      <c r="V54" s="9">
        <f t="shared" si="11"/>
        <v>3.5</v>
      </c>
      <c r="W54" s="9">
        <f t="shared" si="13"/>
        <v>3792.7300567626953</v>
      </c>
    </row>
    <row r="55" spans="1:23" x14ac:dyDescent="0.2">
      <c r="A55" s="50">
        <v>45810</v>
      </c>
      <c r="B55" s="51" t="s">
        <v>370</v>
      </c>
      <c r="C55" s="45">
        <v>-2.3599998950958252</v>
      </c>
      <c r="D55" s="51" t="s">
        <v>238</v>
      </c>
      <c r="E55" s="51" t="s">
        <v>174</v>
      </c>
      <c r="F55" s="51" t="s">
        <v>174</v>
      </c>
      <c r="G55" s="52" t="s">
        <v>105</v>
      </c>
      <c r="H55" s="7"/>
      <c r="I55" s="9">
        <f t="shared" si="14"/>
        <v>0</v>
      </c>
      <c r="J55" s="9">
        <f t="shared" si="15"/>
        <v>0</v>
      </c>
      <c r="K55" s="9">
        <f t="shared" si="16"/>
        <v>-2.3599998950958252</v>
      </c>
      <c r="L55" s="8">
        <f t="shared" si="17"/>
        <v>-2.3599998950958252</v>
      </c>
      <c r="M55" s="8">
        <f t="shared" si="18"/>
        <v>0</v>
      </c>
      <c r="N55" s="8">
        <f t="shared" si="19"/>
        <v>0</v>
      </c>
      <c r="P55" s="8">
        <f t="shared" si="20"/>
        <v>-2.3599998950958252</v>
      </c>
      <c r="Q55" s="8">
        <f t="shared" si="22"/>
        <v>-2.3599998950958252</v>
      </c>
      <c r="R55" s="8">
        <f t="shared" si="21"/>
        <v>1258</v>
      </c>
      <c r="S55" s="8">
        <f t="shared" si="9"/>
        <v>1070</v>
      </c>
      <c r="T55" s="8">
        <f t="shared" si="24"/>
        <v>-2377.2600107192993</v>
      </c>
      <c r="U55" s="9">
        <f t="shared" si="10"/>
        <v>2377.2600107192993</v>
      </c>
      <c r="V55" s="9">
        <f t="shared" si="11"/>
        <v>0</v>
      </c>
      <c r="W55" s="9">
        <f t="shared" si="13"/>
        <v>3792.7300567626953</v>
      </c>
    </row>
    <row r="56" spans="1:23" x14ac:dyDescent="0.2">
      <c r="A56" s="47">
        <v>45810</v>
      </c>
      <c r="B56" s="48" t="s">
        <v>371</v>
      </c>
      <c r="C56" s="44">
        <v>-5.0999999046325684</v>
      </c>
      <c r="D56" s="48" t="s">
        <v>226</v>
      </c>
      <c r="E56" s="48" t="s">
        <v>174</v>
      </c>
      <c r="F56" s="48" t="s">
        <v>174</v>
      </c>
      <c r="G56" s="49" t="s">
        <v>105</v>
      </c>
      <c r="H56" s="7"/>
      <c r="I56" s="9">
        <f t="shared" si="14"/>
        <v>0</v>
      </c>
      <c r="J56" s="9">
        <f t="shared" si="15"/>
        <v>0</v>
      </c>
      <c r="K56" s="9">
        <f t="shared" si="16"/>
        <v>-5.0999999046325684</v>
      </c>
      <c r="L56" s="8">
        <f t="shared" si="17"/>
        <v>-5.0999999046325684</v>
      </c>
      <c r="M56" s="8">
        <f t="shared" si="18"/>
        <v>0</v>
      </c>
      <c r="N56" s="8">
        <f t="shared" si="19"/>
        <v>0</v>
      </c>
      <c r="P56" s="8">
        <f t="shared" si="20"/>
        <v>-5.0999999046325684</v>
      </c>
      <c r="Q56" s="8">
        <f t="shared" si="22"/>
        <v>-5.0999999046325684</v>
      </c>
      <c r="R56" s="8">
        <f t="shared" si="21"/>
        <v>1258</v>
      </c>
      <c r="S56" s="8">
        <f t="shared" si="9"/>
        <v>1070</v>
      </c>
      <c r="T56" s="8">
        <f t="shared" si="24"/>
        <v>-2382.3600106239319</v>
      </c>
      <c r="U56" s="9">
        <f t="shared" si="10"/>
        <v>2382.3600106239319</v>
      </c>
      <c r="V56" s="9">
        <f t="shared" si="11"/>
        <v>0</v>
      </c>
      <c r="W56" s="9">
        <f t="shared" si="13"/>
        <v>3792.7300567626953</v>
      </c>
    </row>
    <row r="57" spans="1:23" x14ac:dyDescent="0.2">
      <c r="A57" s="50">
        <v>45810</v>
      </c>
      <c r="B57" s="51" t="s">
        <v>371</v>
      </c>
      <c r="C57" s="45">
        <v>-3.1500000953674316</v>
      </c>
      <c r="D57" s="51" t="s">
        <v>226</v>
      </c>
      <c r="E57" s="51" t="s">
        <v>174</v>
      </c>
      <c r="F57" s="51" t="s">
        <v>174</v>
      </c>
      <c r="G57" s="52" t="s">
        <v>105</v>
      </c>
      <c r="H57" s="7"/>
      <c r="I57" s="9">
        <f t="shared" si="14"/>
        <v>0</v>
      </c>
      <c r="J57" s="9">
        <f t="shared" si="15"/>
        <v>0</v>
      </c>
      <c r="K57" s="9">
        <f t="shared" si="16"/>
        <v>-3.1500000953674316</v>
      </c>
      <c r="L57" s="8">
        <f t="shared" si="17"/>
        <v>-3.1500000953674316</v>
      </c>
      <c r="M57" s="8">
        <f t="shared" si="18"/>
        <v>0</v>
      </c>
      <c r="N57" s="8">
        <f t="shared" si="19"/>
        <v>0</v>
      </c>
      <c r="P57" s="8">
        <f t="shared" si="20"/>
        <v>-3.1500000953674316</v>
      </c>
      <c r="Q57" s="8">
        <f t="shared" si="22"/>
        <v>-3.1500000953674316</v>
      </c>
      <c r="R57" s="8">
        <f t="shared" si="21"/>
        <v>1258</v>
      </c>
      <c r="S57" s="8">
        <f t="shared" si="9"/>
        <v>1070</v>
      </c>
      <c r="T57" s="8">
        <f t="shared" si="24"/>
        <v>-2385.5100107192993</v>
      </c>
      <c r="U57" s="9">
        <f t="shared" si="10"/>
        <v>2385.5100107192993</v>
      </c>
      <c r="V57" s="9">
        <f t="shared" si="11"/>
        <v>0</v>
      </c>
      <c r="W57" s="9">
        <f t="shared" si="13"/>
        <v>3792.7300567626953</v>
      </c>
    </row>
    <row r="58" spans="1:23" x14ac:dyDescent="0.2">
      <c r="A58" s="47">
        <v>45810</v>
      </c>
      <c r="B58" s="48" t="s">
        <v>374</v>
      </c>
      <c r="C58" s="44">
        <v>-74.790000915527344</v>
      </c>
      <c r="D58" s="48" t="s">
        <v>233</v>
      </c>
      <c r="E58" s="48" t="s">
        <v>174</v>
      </c>
      <c r="F58" s="48" t="s">
        <v>103</v>
      </c>
      <c r="G58" s="49" t="s">
        <v>104</v>
      </c>
      <c r="H58" s="7"/>
      <c r="I58" s="9">
        <f t="shared" si="14"/>
        <v>-74.790000915527344</v>
      </c>
      <c r="J58" s="9">
        <f t="shared" si="15"/>
        <v>-74.790000915527344</v>
      </c>
      <c r="K58" s="9">
        <f t="shared" si="16"/>
        <v>0</v>
      </c>
      <c r="L58" s="8">
        <f t="shared" si="17"/>
        <v>0</v>
      </c>
      <c r="M58" s="8">
        <f t="shared" si="18"/>
        <v>0</v>
      </c>
      <c r="N58" s="8">
        <f t="shared" si="19"/>
        <v>0</v>
      </c>
      <c r="P58" s="8">
        <f t="shared" si="20"/>
        <v>-74.790000915527344</v>
      </c>
      <c r="Q58" s="8">
        <f t="shared" si="22"/>
        <v>-74.790000915527344</v>
      </c>
      <c r="R58" s="8">
        <f t="shared" si="21"/>
        <v>1258</v>
      </c>
      <c r="S58" s="8">
        <f t="shared" si="9"/>
        <v>1070</v>
      </c>
      <c r="T58" s="8">
        <f t="shared" si="24"/>
        <v>-2460.3000116348267</v>
      </c>
      <c r="U58" s="9">
        <f t="shared" si="10"/>
        <v>2460.3000116348267</v>
      </c>
      <c r="V58" s="9">
        <f t="shared" si="11"/>
        <v>0</v>
      </c>
      <c r="W58" s="9">
        <f t="shared" si="13"/>
        <v>3792.7300567626953</v>
      </c>
    </row>
    <row r="59" spans="1:23" x14ac:dyDescent="0.2">
      <c r="A59" s="50">
        <v>45810</v>
      </c>
      <c r="B59" s="51" t="s">
        <v>372</v>
      </c>
      <c r="C59" s="45">
        <v>-59.090000152587891</v>
      </c>
      <c r="D59" s="51" t="s">
        <v>219</v>
      </c>
      <c r="E59" s="51" t="s">
        <v>174</v>
      </c>
      <c r="F59" s="51" t="s">
        <v>174</v>
      </c>
      <c r="G59" s="52" t="s">
        <v>105</v>
      </c>
      <c r="H59" s="7"/>
      <c r="I59" s="9">
        <f t="shared" si="14"/>
        <v>0</v>
      </c>
      <c r="J59" s="9">
        <f t="shared" si="15"/>
        <v>0</v>
      </c>
      <c r="K59" s="9">
        <f t="shared" si="16"/>
        <v>-59.090000152587891</v>
      </c>
      <c r="L59" s="8">
        <f t="shared" si="17"/>
        <v>-59.090000152587891</v>
      </c>
      <c r="M59" s="8">
        <f t="shared" si="18"/>
        <v>0</v>
      </c>
      <c r="N59" s="8">
        <f t="shared" si="19"/>
        <v>0</v>
      </c>
      <c r="P59" s="8">
        <f t="shared" si="20"/>
        <v>-59.090000152587891</v>
      </c>
      <c r="Q59" s="8">
        <f t="shared" si="22"/>
        <v>-59.090000152587891</v>
      </c>
      <c r="R59" s="8">
        <f t="shared" si="21"/>
        <v>1258</v>
      </c>
      <c r="S59" s="8">
        <f t="shared" si="9"/>
        <v>1070</v>
      </c>
      <c r="T59" s="8">
        <f t="shared" si="24"/>
        <v>-2519.3900117874146</v>
      </c>
      <c r="U59" s="9">
        <f t="shared" si="10"/>
        <v>2519.3900117874146</v>
      </c>
      <c r="V59" s="9">
        <f t="shared" si="11"/>
        <v>0</v>
      </c>
      <c r="W59" s="9">
        <f t="shared" si="13"/>
        <v>3792.7300567626953</v>
      </c>
    </row>
    <row r="60" spans="1:23" x14ac:dyDescent="0.2">
      <c r="A60" s="47">
        <v>45811</v>
      </c>
      <c r="B60" s="48" t="s">
        <v>375</v>
      </c>
      <c r="C60" s="44">
        <v>-5.5900001525878906</v>
      </c>
      <c r="D60" s="48" t="s">
        <v>232</v>
      </c>
      <c r="E60" s="48" t="s">
        <v>174</v>
      </c>
      <c r="F60" s="48" t="s">
        <v>103</v>
      </c>
      <c r="G60" s="49" t="s">
        <v>104</v>
      </c>
      <c r="H60" s="7"/>
      <c r="I60" s="9">
        <f t="shared" si="14"/>
        <v>-5.5900001525878906</v>
      </c>
      <c r="J60" s="9">
        <f t="shared" si="15"/>
        <v>-5.5900001525878906</v>
      </c>
      <c r="K60" s="9">
        <f t="shared" si="16"/>
        <v>0</v>
      </c>
      <c r="L60" s="8">
        <f t="shared" si="17"/>
        <v>0</v>
      </c>
      <c r="M60" s="8">
        <f t="shared" si="18"/>
        <v>0</v>
      </c>
      <c r="N60" s="8">
        <f t="shared" si="19"/>
        <v>0</v>
      </c>
      <c r="P60" s="8">
        <f t="shared" si="20"/>
        <v>-5.5900001525878906</v>
      </c>
      <c r="Q60" s="8">
        <f t="shared" si="22"/>
        <v>-5.5900001525878906</v>
      </c>
      <c r="R60" s="8">
        <f t="shared" si="21"/>
        <v>1259</v>
      </c>
      <c r="S60" s="8">
        <f t="shared" si="9"/>
        <v>1071</v>
      </c>
      <c r="T60" s="8">
        <f t="shared" si="24"/>
        <v>-2524.9800119400024</v>
      </c>
      <c r="U60" s="9">
        <f t="shared" si="10"/>
        <v>2524.9800119400024</v>
      </c>
      <c r="V60" s="9">
        <f t="shared" si="11"/>
        <v>0</v>
      </c>
      <c r="W60" s="9">
        <f t="shared" si="13"/>
        <v>3792.7300567626953</v>
      </c>
    </row>
    <row r="61" spans="1:23" x14ac:dyDescent="0.2">
      <c r="A61" s="50">
        <v>45811</v>
      </c>
      <c r="B61" s="51" t="s">
        <v>376</v>
      </c>
      <c r="C61" s="45">
        <v>-13.920000076293945</v>
      </c>
      <c r="D61" s="51" t="s">
        <v>226</v>
      </c>
      <c r="E61" s="51" t="s">
        <v>174</v>
      </c>
      <c r="F61" s="51" t="s">
        <v>174</v>
      </c>
      <c r="G61" s="52" t="s">
        <v>104</v>
      </c>
      <c r="H61" s="7"/>
      <c r="I61" s="9">
        <f t="shared" si="14"/>
        <v>0</v>
      </c>
      <c r="J61" s="9">
        <f t="shared" si="15"/>
        <v>-13.920000076293945</v>
      </c>
      <c r="K61" s="9">
        <f t="shared" si="16"/>
        <v>0</v>
      </c>
      <c r="L61" s="8">
        <f t="shared" si="17"/>
        <v>-13.920000076293945</v>
      </c>
      <c r="M61" s="8">
        <f t="shared" si="18"/>
        <v>0</v>
      </c>
      <c r="N61" s="8">
        <f t="shared" si="19"/>
        <v>0</v>
      </c>
      <c r="P61" s="8">
        <f t="shared" si="20"/>
        <v>-13.920000076293945</v>
      </c>
      <c r="Q61" s="8">
        <f t="shared" si="22"/>
        <v>-13.920000076293945</v>
      </c>
      <c r="R61" s="8">
        <f t="shared" si="21"/>
        <v>1259</v>
      </c>
      <c r="S61" s="8">
        <f t="shared" si="9"/>
        <v>1071</v>
      </c>
      <c r="T61" s="8">
        <f t="shared" si="24"/>
        <v>-2538.9000120162964</v>
      </c>
      <c r="U61" s="9">
        <f t="shared" si="10"/>
        <v>2538.9000120162964</v>
      </c>
      <c r="V61" s="9">
        <f t="shared" si="11"/>
        <v>0</v>
      </c>
      <c r="W61" s="9">
        <f t="shared" si="13"/>
        <v>3792.7300567626953</v>
      </c>
    </row>
    <row r="62" spans="1:23" x14ac:dyDescent="0.2">
      <c r="A62" s="47">
        <v>45811</v>
      </c>
      <c r="B62" s="48" t="s">
        <v>377</v>
      </c>
      <c r="C62" s="44">
        <v>-359.22000122070312</v>
      </c>
      <c r="D62" s="48" t="s">
        <v>218</v>
      </c>
      <c r="E62" s="48" t="s">
        <v>174</v>
      </c>
      <c r="F62" s="48" t="s">
        <v>174</v>
      </c>
      <c r="G62" s="49" t="s">
        <v>104</v>
      </c>
      <c r="H62" s="7"/>
      <c r="I62" s="9">
        <f t="shared" si="14"/>
        <v>0</v>
      </c>
      <c r="J62" s="9">
        <f t="shared" si="15"/>
        <v>-359.22000122070312</v>
      </c>
      <c r="K62" s="9">
        <f t="shared" si="16"/>
        <v>0</v>
      </c>
      <c r="L62" s="8">
        <f t="shared" si="17"/>
        <v>-359.22000122070312</v>
      </c>
      <c r="M62" s="8">
        <f t="shared" si="18"/>
        <v>0</v>
      </c>
      <c r="N62" s="8">
        <f t="shared" si="19"/>
        <v>0</v>
      </c>
      <c r="P62" s="8">
        <f t="shared" si="20"/>
        <v>-359.22000122070312</v>
      </c>
      <c r="Q62" s="8">
        <f t="shared" si="22"/>
        <v>-359.22000122070312</v>
      </c>
      <c r="R62" s="8">
        <f t="shared" si="21"/>
        <v>1259</v>
      </c>
      <c r="S62" s="8">
        <f t="shared" si="9"/>
        <v>1071</v>
      </c>
      <c r="T62" s="8">
        <f t="shared" si="24"/>
        <v>-2898.1200132369995</v>
      </c>
      <c r="U62" s="9">
        <f t="shared" si="10"/>
        <v>2898.1200132369995</v>
      </c>
      <c r="V62" s="9">
        <f t="shared" si="11"/>
        <v>0</v>
      </c>
      <c r="W62" s="9">
        <f t="shared" si="13"/>
        <v>3792.7300567626953</v>
      </c>
    </row>
    <row r="63" spans="1:23" x14ac:dyDescent="0.2">
      <c r="A63" s="50">
        <v>45811</v>
      </c>
      <c r="B63" s="51" t="s">
        <v>224</v>
      </c>
      <c r="C63" s="45">
        <v>-40</v>
      </c>
      <c r="D63" s="51" t="s">
        <v>225</v>
      </c>
      <c r="E63" s="51" t="s">
        <v>174</v>
      </c>
      <c r="F63" s="51" t="s">
        <v>174</v>
      </c>
      <c r="G63" s="52" t="s">
        <v>105</v>
      </c>
      <c r="H63" s="7"/>
      <c r="I63" s="9">
        <f t="shared" si="14"/>
        <v>0</v>
      </c>
      <c r="J63" s="9">
        <f t="shared" si="15"/>
        <v>0</v>
      </c>
      <c r="K63" s="9">
        <f t="shared" si="16"/>
        <v>-40</v>
      </c>
      <c r="L63" s="8">
        <f t="shared" si="17"/>
        <v>-40</v>
      </c>
      <c r="M63" s="8">
        <f t="shared" si="18"/>
        <v>0</v>
      </c>
      <c r="N63" s="8">
        <f t="shared" si="19"/>
        <v>0</v>
      </c>
      <c r="P63" s="8">
        <f t="shared" si="20"/>
        <v>-40</v>
      </c>
      <c r="Q63" s="8">
        <f t="shared" si="22"/>
        <v>-40</v>
      </c>
      <c r="R63" s="8">
        <f t="shared" si="21"/>
        <v>1259</v>
      </c>
      <c r="S63" s="8">
        <f t="shared" si="9"/>
        <v>1071</v>
      </c>
      <c r="T63" s="8">
        <f t="shared" si="24"/>
        <v>-2938.1200132369995</v>
      </c>
      <c r="U63" s="9">
        <f t="shared" si="10"/>
        <v>2938.1200132369995</v>
      </c>
      <c r="V63" s="9">
        <f t="shared" si="11"/>
        <v>0</v>
      </c>
      <c r="W63" s="9">
        <f t="shared" si="13"/>
        <v>3792.7300567626953</v>
      </c>
    </row>
    <row r="64" spans="1:23" x14ac:dyDescent="0.2">
      <c r="A64" s="47">
        <v>45812</v>
      </c>
      <c r="B64" s="48" t="s">
        <v>139</v>
      </c>
      <c r="C64" s="44">
        <v>-3.3900001049041748</v>
      </c>
      <c r="D64" s="48" t="s">
        <v>206</v>
      </c>
      <c r="E64" s="48" t="s">
        <v>174</v>
      </c>
      <c r="F64" s="48" t="s">
        <v>174</v>
      </c>
      <c r="G64" s="49" t="s">
        <v>104</v>
      </c>
      <c r="H64" s="7"/>
      <c r="I64" s="9">
        <f t="shared" si="14"/>
        <v>0</v>
      </c>
      <c r="J64" s="9">
        <f t="shared" si="15"/>
        <v>-3.3900001049041748</v>
      </c>
      <c r="K64" s="9">
        <f t="shared" si="16"/>
        <v>0</v>
      </c>
      <c r="L64" s="8">
        <f t="shared" si="17"/>
        <v>-3.3900001049041748</v>
      </c>
      <c r="M64" s="8">
        <f t="shared" si="18"/>
        <v>0</v>
      </c>
      <c r="N64" s="8">
        <f t="shared" si="19"/>
        <v>0</v>
      </c>
      <c r="P64" s="8">
        <f t="shared" si="20"/>
        <v>-3.3900001049041748</v>
      </c>
      <c r="Q64" s="8">
        <f t="shared" si="22"/>
        <v>-3.3900001049041748</v>
      </c>
      <c r="R64" s="8">
        <f t="shared" si="21"/>
        <v>1260</v>
      </c>
      <c r="S64" s="8">
        <f t="shared" si="9"/>
        <v>1072</v>
      </c>
      <c r="T64" s="8">
        <f t="shared" si="24"/>
        <v>-2941.5100133419037</v>
      </c>
      <c r="U64" s="9">
        <f t="shared" si="10"/>
        <v>2941.5100133419037</v>
      </c>
      <c r="V64" s="9">
        <f t="shared" si="11"/>
        <v>0</v>
      </c>
      <c r="W64" s="9">
        <f t="shared" si="13"/>
        <v>3792.7300567626953</v>
      </c>
    </row>
    <row r="65" spans="1:23" x14ac:dyDescent="0.2">
      <c r="A65" s="50">
        <v>45812</v>
      </c>
      <c r="B65" s="51" t="s">
        <v>138</v>
      </c>
      <c r="C65" s="45">
        <v>-121.73999786376953</v>
      </c>
      <c r="D65" s="51" t="s">
        <v>206</v>
      </c>
      <c r="E65" s="51" t="s">
        <v>174</v>
      </c>
      <c r="F65" s="51" t="s">
        <v>174</v>
      </c>
      <c r="G65" s="52" t="s">
        <v>104</v>
      </c>
      <c r="H65" s="7"/>
      <c r="I65" s="9">
        <f t="shared" si="14"/>
        <v>0</v>
      </c>
      <c r="J65" s="9">
        <f t="shared" si="15"/>
        <v>-121.73999786376953</v>
      </c>
      <c r="K65" s="9">
        <f t="shared" si="16"/>
        <v>0</v>
      </c>
      <c r="L65" s="8">
        <f t="shared" si="17"/>
        <v>-121.73999786376953</v>
      </c>
      <c r="M65" s="8">
        <f t="shared" si="18"/>
        <v>0</v>
      </c>
      <c r="N65" s="8">
        <f t="shared" si="19"/>
        <v>0</v>
      </c>
      <c r="P65" s="8">
        <f t="shared" si="20"/>
        <v>-121.73999786376953</v>
      </c>
      <c r="Q65" s="8">
        <f t="shared" si="22"/>
        <v>-121.73999786376953</v>
      </c>
      <c r="R65" s="8">
        <f t="shared" si="21"/>
        <v>1260</v>
      </c>
      <c r="S65" s="8">
        <f t="shared" si="9"/>
        <v>1072</v>
      </c>
      <c r="T65" s="8">
        <f t="shared" si="24"/>
        <v>-3063.2500112056732</v>
      </c>
      <c r="U65" s="9">
        <f t="shared" si="10"/>
        <v>3063.2500112056732</v>
      </c>
      <c r="V65" s="9">
        <f t="shared" si="11"/>
        <v>0</v>
      </c>
      <c r="W65" s="9">
        <f t="shared" si="13"/>
        <v>3792.7300567626953</v>
      </c>
    </row>
    <row r="66" spans="1:23" x14ac:dyDescent="0.2">
      <c r="A66" s="47">
        <v>45813</v>
      </c>
      <c r="B66" s="48" t="s">
        <v>378</v>
      </c>
      <c r="C66" s="44">
        <v>-3.0899999141693115</v>
      </c>
      <c r="D66" s="48" t="s">
        <v>206</v>
      </c>
      <c r="E66" s="48" t="s">
        <v>174</v>
      </c>
      <c r="F66" s="48" t="s">
        <v>174</v>
      </c>
      <c r="G66" s="49" t="s">
        <v>104</v>
      </c>
      <c r="H66" s="7"/>
      <c r="I66" s="9">
        <f t="shared" ref="I66:I91" si="25">IF(EXACT(F66,"M"),C66,0)</f>
        <v>0</v>
      </c>
      <c r="J66" s="9">
        <f t="shared" ref="J66:J91" si="26">IF(EXACT(G66,"CheckingStarOneTXs"),C66,0)</f>
        <v>-3.0899999141693115</v>
      </c>
      <c r="K66" s="9">
        <f t="shared" ref="K66:K91" si="27">IF(AND(C66&lt;0,EXACT(G66,"VisaChaseTXs")),C66,0)</f>
        <v>0</v>
      </c>
      <c r="L66" s="8">
        <f t="shared" ref="L66:L91" si="28">IF(AND(AND(F66="",C66&lt;0),E66=""),C66,0)</f>
        <v>-3.0899999141693115</v>
      </c>
      <c r="M66" s="8">
        <f t="shared" ref="M66:M91" si="29">IF(F66="T",C66,0)</f>
        <v>0</v>
      </c>
      <c r="N66" s="8">
        <f t="shared" ref="N66:N91" si="30">IF(D66="Transfer Savings",C66,0)</f>
        <v>0</v>
      </c>
      <c r="P66" s="8">
        <f t="shared" ref="P66:P91" si="31">IF(AND(IF(C66&lt;0,C66,FALSE),E66&lt;&gt;"y"),C66,0)</f>
        <v>-3.0899999141693115</v>
      </c>
      <c r="Q66" s="8">
        <f t="shared" si="22"/>
        <v>-3.0899999141693115</v>
      </c>
      <c r="R66" s="8">
        <f>IF(ISBLANK(A66),"",ABS($AB$1-(A66+10)))</f>
        <v>1261</v>
      </c>
      <c r="S66" s="8">
        <f t="shared" si="9"/>
        <v>1073</v>
      </c>
      <c r="T66" s="8">
        <f t="shared" si="24"/>
        <v>-3066.3400111198425</v>
      </c>
      <c r="U66" s="9">
        <f t="shared" si="10"/>
        <v>3066.3400111198425</v>
      </c>
      <c r="V66" s="9">
        <f t="shared" si="11"/>
        <v>0</v>
      </c>
      <c r="W66" s="9">
        <f t="shared" si="13"/>
        <v>3792.7300567626953</v>
      </c>
    </row>
    <row r="67" spans="1:23" x14ac:dyDescent="0.2">
      <c r="A67" s="50">
        <v>45813</v>
      </c>
      <c r="B67" s="51" t="s">
        <v>139</v>
      </c>
      <c r="C67" s="45">
        <v>-3.4900000095367432</v>
      </c>
      <c r="D67" s="51" t="s">
        <v>206</v>
      </c>
      <c r="E67" s="51" t="s">
        <v>174</v>
      </c>
      <c r="F67" s="51" t="s">
        <v>174</v>
      </c>
      <c r="G67" s="52" t="s">
        <v>104</v>
      </c>
      <c r="H67" s="7"/>
      <c r="I67" s="9">
        <f t="shared" si="25"/>
        <v>0</v>
      </c>
      <c r="J67" s="9">
        <f t="shared" si="26"/>
        <v>-3.4900000095367432</v>
      </c>
      <c r="K67" s="9">
        <f t="shared" si="27"/>
        <v>0</v>
      </c>
      <c r="L67" s="8">
        <f t="shared" si="28"/>
        <v>-3.4900000095367432</v>
      </c>
      <c r="M67" s="8">
        <f t="shared" si="29"/>
        <v>0</v>
      </c>
      <c r="N67" s="8">
        <f t="shared" si="30"/>
        <v>0</v>
      </c>
      <c r="P67" s="8">
        <f t="shared" si="31"/>
        <v>-3.4900000095367432</v>
      </c>
      <c r="Q67" s="8">
        <f t="shared" si="22"/>
        <v>-3.4900000095367432</v>
      </c>
      <c r="R67" s="8">
        <f>IF(ISBLANK(A67),"",ABS($AB$1-(A67+10)))</f>
        <v>1261</v>
      </c>
      <c r="S67" s="8">
        <f>IF(ISBLANK(A67),"",ABS($AB$2-(A67+$AA$5)))</f>
        <v>1073</v>
      </c>
      <c r="T67" s="8">
        <f t="shared" si="24"/>
        <v>-3069.8300111293793</v>
      </c>
      <c r="U67" s="9">
        <f t="shared" ref="U67:U91" si="32">IF(S67="","",ABS(T67))</f>
        <v>3069.8300111293793</v>
      </c>
      <c r="V67" s="9">
        <f t="shared" ref="V67:V91" si="33">IF(C67&gt;0,C67,0)</f>
        <v>0</v>
      </c>
      <c r="W67" s="9">
        <f t="shared" si="13"/>
        <v>3792.7300567626953</v>
      </c>
    </row>
    <row r="68" spans="1:23" x14ac:dyDescent="0.2">
      <c r="A68" s="47">
        <v>45813</v>
      </c>
      <c r="B68" s="48" t="s">
        <v>116</v>
      </c>
      <c r="C68" s="44">
        <v>-18.989999771118164</v>
      </c>
      <c r="D68" s="48" t="s">
        <v>211</v>
      </c>
      <c r="E68" s="48" t="s">
        <v>174</v>
      </c>
      <c r="F68" s="48" t="s">
        <v>103</v>
      </c>
      <c r="G68" s="49" t="s">
        <v>105</v>
      </c>
      <c r="H68" s="7"/>
      <c r="I68" s="9">
        <f t="shared" si="25"/>
        <v>-18.989999771118164</v>
      </c>
      <c r="J68" s="9">
        <f t="shared" si="26"/>
        <v>0</v>
      </c>
      <c r="K68" s="9">
        <f t="shared" si="27"/>
        <v>-18.989999771118164</v>
      </c>
      <c r="L68" s="8">
        <f t="shared" si="28"/>
        <v>0</v>
      </c>
      <c r="M68" s="8">
        <f t="shared" si="29"/>
        <v>0</v>
      </c>
      <c r="N68" s="8">
        <f t="shared" si="30"/>
        <v>0</v>
      </c>
      <c r="P68" s="8">
        <f t="shared" si="31"/>
        <v>-18.989999771118164</v>
      </c>
      <c r="Q68" s="8">
        <f t="shared" si="22"/>
        <v>-18.989999771118164</v>
      </c>
      <c r="R68" s="8">
        <f>IF(ISBLANK(A68),"",ABS($AB$1-(A68+10)))</f>
        <v>1261</v>
      </c>
      <c r="S68" s="8">
        <f>IF(ISBLANK(A68),"",ABS($AB$2-(A68+$AA$5)))</f>
        <v>1073</v>
      </c>
      <c r="T68" s="8">
        <f t="shared" si="24"/>
        <v>-3088.8200109004974</v>
      </c>
      <c r="U68" s="9">
        <f t="shared" si="32"/>
        <v>3088.8200109004974</v>
      </c>
      <c r="V68" s="9">
        <f t="shared" si="33"/>
        <v>0</v>
      </c>
      <c r="W68" s="9">
        <f t="shared" ref="W68:W131" si="34">W67+V68</f>
        <v>3792.7300567626953</v>
      </c>
    </row>
    <row r="69" spans="1:23" x14ac:dyDescent="0.2">
      <c r="A69" s="50">
        <v>45813</v>
      </c>
      <c r="B69" s="51" t="s">
        <v>273</v>
      </c>
      <c r="C69" s="45">
        <v>-40</v>
      </c>
      <c r="D69" s="51" t="s">
        <v>235</v>
      </c>
      <c r="E69" s="51" t="s">
        <v>174</v>
      </c>
      <c r="F69" s="51" t="s">
        <v>174</v>
      </c>
      <c r="G69" s="52" t="s">
        <v>104</v>
      </c>
      <c r="H69" s="7"/>
      <c r="I69" s="9">
        <f t="shared" si="25"/>
        <v>0</v>
      </c>
      <c r="J69" s="9">
        <f t="shared" si="26"/>
        <v>-40</v>
      </c>
      <c r="K69" s="9">
        <f t="shared" si="27"/>
        <v>0</v>
      </c>
      <c r="L69" s="8">
        <f t="shared" si="28"/>
        <v>-40</v>
      </c>
      <c r="M69" s="8">
        <f t="shared" si="29"/>
        <v>0</v>
      </c>
      <c r="N69" s="8">
        <f t="shared" si="30"/>
        <v>0</v>
      </c>
      <c r="P69" s="8">
        <f t="shared" si="31"/>
        <v>-40</v>
      </c>
      <c r="Q69" s="8">
        <f t="shared" si="22"/>
        <v>-40</v>
      </c>
      <c r="R69" s="8">
        <f>IF(ISBLANK(A69),"",ABS($AB$1-(A69+10)))</f>
        <v>1261</v>
      </c>
      <c r="S69" s="8">
        <f>IF(ISBLANK(A69),"",ABS($AB$2-(A69+$AA$5)))</f>
        <v>1073</v>
      </c>
      <c r="T69" s="8">
        <f t="shared" si="24"/>
        <v>-3128.8200109004974</v>
      </c>
      <c r="U69" s="9">
        <f t="shared" si="32"/>
        <v>3128.8200109004974</v>
      </c>
      <c r="V69" s="9">
        <f t="shared" si="33"/>
        <v>0</v>
      </c>
      <c r="W69" s="9">
        <f t="shared" si="34"/>
        <v>3792.7300567626953</v>
      </c>
    </row>
    <row r="70" spans="1:23" x14ac:dyDescent="0.2">
      <c r="A70" s="47">
        <v>45814</v>
      </c>
      <c r="B70" s="48" t="s">
        <v>139</v>
      </c>
      <c r="C70" s="44">
        <v>-3.4900000095367432</v>
      </c>
      <c r="D70" s="48" t="s">
        <v>206</v>
      </c>
      <c r="E70" s="48" t="s">
        <v>174</v>
      </c>
      <c r="F70" s="48" t="s">
        <v>174</v>
      </c>
      <c r="G70" s="49" t="s">
        <v>104</v>
      </c>
      <c r="H70" s="7"/>
      <c r="I70" s="9">
        <f t="shared" si="25"/>
        <v>0</v>
      </c>
      <c r="J70" s="9">
        <f t="shared" si="26"/>
        <v>-3.4900000095367432</v>
      </c>
      <c r="K70" s="9">
        <f t="shared" si="27"/>
        <v>0</v>
      </c>
      <c r="L70" s="8">
        <f t="shared" si="28"/>
        <v>-3.4900000095367432</v>
      </c>
      <c r="M70" s="8">
        <f t="shared" si="29"/>
        <v>0</v>
      </c>
      <c r="N70" s="8">
        <f t="shared" si="30"/>
        <v>0</v>
      </c>
      <c r="P70" s="8">
        <f t="shared" si="31"/>
        <v>-3.4900000095367432</v>
      </c>
      <c r="Q70" s="8">
        <f t="shared" si="22"/>
        <v>-3.4900000095367432</v>
      </c>
      <c r="R70" s="8">
        <f>IF(ISBLANK(A70),"",ABS($AB$1-(A70+10)))</f>
        <v>1262</v>
      </c>
      <c r="S70" s="8">
        <f>IF(ISBLANK(A70),"",ABS($AB$2-(A70+$AA$5)))</f>
        <v>1074</v>
      </c>
      <c r="T70" s="8">
        <f t="shared" si="24"/>
        <v>-3132.3100109100342</v>
      </c>
      <c r="U70" s="9">
        <f t="shared" si="32"/>
        <v>3132.3100109100342</v>
      </c>
      <c r="V70" s="9">
        <f t="shared" si="33"/>
        <v>0</v>
      </c>
      <c r="W70" s="9">
        <f t="shared" si="34"/>
        <v>3792.7300567626953</v>
      </c>
    </row>
    <row r="71" spans="1:23" x14ac:dyDescent="0.2">
      <c r="A71" s="50">
        <v>45815</v>
      </c>
      <c r="B71" s="51" t="s">
        <v>379</v>
      </c>
      <c r="C71" s="45">
        <v>-12</v>
      </c>
      <c r="D71" s="51" t="s">
        <v>205</v>
      </c>
      <c r="E71" s="51" t="s">
        <v>174</v>
      </c>
      <c r="F71" s="51" t="s">
        <v>174</v>
      </c>
      <c r="G71" s="52" t="s">
        <v>104</v>
      </c>
      <c r="H71" s="7"/>
      <c r="I71" s="9">
        <f t="shared" si="25"/>
        <v>0</v>
      </c>
      <c r="J71" s="9">
        <f t="shared" si="26"/>
        <v>-12</v>
      </c>
      <c r="K71" s="9">
        <f t="shared" si="27"/>
        <v>0</v>
      </c>
      <c r="L71" s="8">
        <f t="shared" si="28"/>
        <v>-12</v>
      </c>
      <c r="M71" s="8">
        <f t="shared" si="29"/>
        <v>0</v>
      </c>
      <c r="N71" s="8">
        <f t="shared" si="30"/>
        <v>0</v>
      </c>
      <c r="P71" s="8">
        <f t="shared" si="31"/>
        <v>-12</v>
      </c>
      <c r="Q71" s="8">
        <f t="shared" si="22"/>
        <v>-12</v>
      </c>
      <c r="R71" s="8">
        <f>IF(ISBLANK(A71),"",ABS($AB$1-(A71+10)))</f>
        <v>1263</v>
      </c>
      <c r="S71" s="8">
        <f>IF(ISBLANK(A71),"",ABS($AB$2-(A71+$AA$5)))</f>
        <v>1075</v>
      </c>
      <c r="T71" s="8">
        <f t="shared" si="24"/>
        <v>-3144.3100109100342</v>
      </c>
      <c r="U71" s="9">
        <f t="shared" si="32"/>
        <v>3144.3100109100342</v>
      </c>
      <c r="V71" s="9">
        <f t="shared" si="33"/>
        <v>0</v>
      </c>
      <c r="W71" s="9">
        <f t="shared" si="34"/>
        <v>3792.7300567626953</v>
      </c>
    </row>
    <row r="72" spans="1:23" x14ac:dyDescent="0.2">
      <c r="A72" s="47">
        <v>45815</v>
      </c>
      <c r="B72" s="48" t="s">
        <v>380</v>
      </c>
      <c r="C72" s="44">
        <v>-10</v>
      </c>
      <c r="D72" s="48" t="s">
        <v>226</v>
      </c>
      <c r="E72" s="48" t="s">
        <v>174</v>
      </c>
      <c r="F72" s="48" t="s">
        <v>174</v>
      </c>
      <c r="G72" s="49" t="s">
        <v>105</v>
      </c>
      <c r="H72" s="7"/>
      <c r="I72" s="9">
        <f t="shared" si="25"/>
        <v>0</v>
      </c>
      <c r="J72" s="9">
        <f t="shared" si="26"/>
        <v>0</v>
      </c>
      <c r="K72" s="9">
        <f t="shared" si="27"/>
        <v>-10</v>
      </c>
      <c r="L72" s="8">
        <f t="shared" si="28"/>
        <v>-10</v>
      </c>
      <c r="M72" s="8">
        <f t="shared" si="29"/>
        <v>0</v>
      </c>
      <c r="N72" s="8">
        <f t="shared" si="30"/>
        <v>0</v>
      </c>
      <c r="P72" s="8">
        <f t="shared" si="31"/>
        <v>-10</v>
      </c>
      <c r="Q72" s="8">
        <f t="shared" si="22"/>
        <v>-10</v>
      </c>
      <c r="R72" s="8">
        <f>IF(ISBLANK(A72),"",ABS($AB$1-(A72+10)))</f>
        <v>1263</v>
      </c>
      <c r="S72" s="8">
        <f>IF(ISBLANK(A72),"",ABS($AB$2-(A72+$AA$5)))</f>
        <v>1075</v>
      </c>
      <c r="T72" s="8">
        <f t="shared" si="24"/>
        <v>-3154.3100109100342</v>
      </c>
      <c r="U72" s="9">
        <f t="shared" si="32"/>
        <v>3154.3100109100342</v>
      </c>
      <c r="V72" s="9">
        <f t="shared" si="33"/>
        <v>0</v>
      </c>
      <c r="W72" s="9">
        <f t="shared" si="34"/>
        <v>3792.7300567626953</v>
      </c>
    </row>
    <row r="73" spans="1:23" x14ac:dyDescent="0.2">
      <c r="A73" s="50">
        <v>45815</v>
      </c>
      <c r="B73" s="51" t="s">
        <v>380</v>
      </c>
      <c r="C73" s="45">
        <v>-5</v>
      </c>
      <c r="D73" s="51" t="s">
        <v>226</v>
      </c>
      <c r="E73" s="51" t="s">
        <v>174</v>
      </c>
      <c r="F73" s="51" t="s">
        <v>174</v>
      </c>
      <c r="G73" s="52" t="s">
        <v>105</v>
      </c>
      <c r="H73" s="7"/>
      <c r="I73" s="9">
        <f t="shared" si="25"/>
        <v>0</v>
      </c>
      <c r="J73" s="9">
        <f t="shared" si="26"/>
        <v>0</v>
      </c>
      <c r="K73" s="9">
        <f t="shared" si="27"/>
        <v>-5</v>
      </c>
      <c r="L73" s="8">
        <f t="shared" si="28"/>
        <v>-5</v>
      </c>
      <c r="M73" s="8">
        <f t="shared" si="29"/>
        <v>0</v>
      </c>
      <c r="N73" s="8">
        <f t="shared" si="30"/>
        <v>0</v>
      </c>
      <c r="P73" s="8">
        <f t="shared" si="31"/>
        <v>-5</v>
      </c>
      <c r="Q73" s="8">
        <f t="shared" si="22"/>
        <v>-5</v>
      </c>
      <c r="R73" s="8">
        <f>IF(ISBLANK(A73),"",ABS($AB$1-(A73+10)))</f>
        <v>1263</v>
      </c>
      <c r="S73" s="8">
        <f>IF(ISBLANK(A73),"",ABS($AB$2-(A73+$AA$5)))</f>
        <v>1075</v>
      </c>
      <c r="T73" s="8">
        <f t="shared" si="24"/>
        <v>-3159.3100109100342</v>
      </c>
      <c r="U73" s="9">
        <f t="shared" si="32"/>
        <v>3159.3100109100342</v>
      </c>
      <c r="V73" s="9">
        <f t="shared" si="33"/>
        <v>0</v>
      </c>
      <c r="W73" s="9">
        <f t="shared" si="34"/>
        <v>3792.7300567626953</v>
      </c>
    </row>
    <row r="74" spans="1:23" x14ac:dyDescent="0.2">
      <c r="A74" s="47">
        <v>45815</v>
      </c>
      <c r="B74" s="48" t="s">
        <v>381</v>
      </c>
      <c r="C74" s="44">
        <v>-205.47999572753906</v>
      </c>
      <c r="D74" s="48" t="s">
        <v>205</v>
      </c>
      <c r="E74" s="48" t="s">
        <v>174</v>
      </c>
      <c r="F74" s="48" t="s">
        <v>174</v>
      </c>
      <c r="G74" s="49" t="s">
        <v>104</v>
      </c>
      <c r="H74" s="7"/>
      <c r="I74" s="9">
        <f t="shared" si="25"/>
        <v>0</v>
      </c>
      <c r="J74" s="9">
        <f t="shared" si="26"/>
        <v>-205.47999572753906</v>
      </c>
      <c r="K74" s="9">
        <f t="shared" si="27"/>
        <v>0</v>
      </c>
      <c r="L74" s="8">
        <f t="shared" si="28"/>
        <v>-205.47999572753906</v>
      </c>
      <c r="M74" s="8">
        <f t="shared" si="29"/>
        <v>0</v>
      </c>
      <c r="N74" s="8">
        <f t="shared" si="30"/>
        <v>0</v>
      </c>
      <c r="P74" s="8">
        <f t="shared" si="31"/>
        <v>-205.47999572753906</v>
      </c>
      <c r="Q74" s="8">
        <f t="shared" si="22"/>
        <v>-205.47999572753906</v>
      </c>
      <c r="R74" s="8">
        <f>IF(ISBLANK(A74),"",ABS($AB$1-(A74+10)))</f>
        <v>1263</v>
      </c>
      <c r="S74" s="8">
        <f>IF(ISBLANK(A74),"",ABS($AB$2-(A74+$AA$5)))</f>
        <v>1075</v>
      </c>
      <c r="T74" s="8">
        <f t="shared" si="24"/>
        <v>-3364.7900066375732</v>
      </c>
      <c r="U74" s="9">
        <f t="shared" si="32"/>
        <v>3364.7900066375732</v>
      </c>
      <c r="V74" s="9">
        <f t="shared" si="33"/>
        <v>0</v>
      </c>
      <c r="W74" s="9">
        <f t="shared" si="34"/>
        <v>3792.7300567626953</v>
      </c>
    </row>
    <row r="75" spans="1:23" x14ac:dyDescent="0.2">
      <c r="A75" s="50">
        <v>45816</v>
      </c>
      <c r="B75" s="51" t="s">
        <v>382</v>
      </c>
      <c r="C75" s="45">
        <v>-20.030000686645508</v>
      </c>
      <c r="D75" s="51" t="s">
        <v>211</v>
      </c>
      <c r="E75" s="51" t="s">
        <v>174</v>
      </c>
      <c r="F75" s="51" t="s">
        <v>174</v>
      </c>
      <c r="G75" s="52" t="s">
        <v>105</v>
      </c>
      <c r="H75" s="7"/>
      <c r="I75" s="9">
        <f t="shared" si="25"/>
        <v>0</v>
      </c>
      <c r="J75" s="9">
        <f t="shared" si="26"/>
        <v>0</v>
      </c>
      <c r="K75" s="9">
        <f t="shared" si="27"/>
        <v>-20.030000686645508</v>
      </c>
      <c r="L75" s="8">
        <f t="shared" si="28"/>
        <v>-20.030000686645508</v>
      </c>
      <c r="M75" s="8">
        <f t="shared" si="29"/>
        <v>0</v>
      </c>
      <c r="N75" s="8">
        <f t="shared" si="30"/>
        <v>0</v>
      </c>
      <c r="P75" s="8">
        <f t="shared" si="31"/>
        <v>-20.030000686645508</v>
      </c>
      <c r="Q75" s="8">
        <f t="shared" si="22"/>
        <v>-20.030000686645508</v>
      </c>
      <c r="R75" s="8">
        <f>IF(ISBLANK(A75),"",ABS($AB$1-(A75+10)))</f>
        <v>1264</v>
      </c>
      <c r="S75" s="8">
        <f>IF(ISBLANK(A75),"",ABS($AB$2-(A75+$AA$5)))</f>
        <v>1076</v>
      </c>
      <c r="T75" s="8">
        <f t="shared" si="24"/>
        <v>-3384.8200073242188</v>
      </c>
      <c r="U75" s="9">
        <f t="shared" si="32"/>
        <v>3384.8200073242188</v>
      </c>
      <c r="V75" s="9">
        <f t="shared" si="33"/>
        <v>0</v>
      </c>
      <c r="W75" s="9">
        <f t="shared" si="34"/>
        <v>3792.7300567626953</v>
      </c>
    </row>
    <row r="76" spans="1:23" x14ac:dyDescent="0.2">
      <c r="A76" s="47">
        <v>45816</v>
      </c>
      <c r="B76" s="48" t="s">
        <v>383</v>
      </c>
      <c r="C76" s="44">
        <v>-5</v>
      </c>
      <c r="D76" s="48" t="s">
        <v>211</v>
      </c>
      <c r="E76" s="48" t="s">
        <v>174</v>
      </c>
      <c r="F76" s="48" t="s">
        <v>174</v>
      </c>
      <c r="G76" s="49" t="s">
        <v>105</v>
      </c>
      <c r="H76" s="7"/>
      <c r="I76" s="9">
        <f t="shared" si="25"/>
        <v>0</v>
      </c>
      <c r="J76" s="9">
        <f t="shared" si="26"/>
        <v>0</v>
      </c>
      <c r="K76" s="9">
        <f t="shared" si="27"/>
        <v>-5</v>
      </c>
      <c r="L76" s="8">
        <f t="shared" si="28"/>
        <v>-5</v>
      </c>
      <c r="M76" s="8">
        <f t="shared" si="29"/>
        <v>0</v>
      </c>
      <c r="N76" s="8">
        <f t="shared" si="30"/>
        <v>0</v>
      </c>
      <c r="P76" s="8">
        <f t="shared" si="31"/>
        <v>-5</v>
      </c>
      <c r="Q76" s="8">
        <f t="shared" si="22"/>
        <v>-5</v>
      </c>
      <c r="R76" s="8">
        <f>IF(ISBLANK(A76),"",ABS($AB$1-(A76+10)))</f>
        <v>1264</v>
      </c>
      <c r="S76" s="8">
        <f>IF(ISBLANK(A76),"",ABS($AB$2-(A76+$AA$5)))</f>
        <v>1076</v>
      </c>
      <c r="T76" s="8">
        <f t="shared" si="24"/>
        <v>-3389.8200073242188</v>
      </c>
      <c r="U76" s="9">
        <f t="shared" si="32"/>
        <v>3389.8200073242188</v>
      </c>
      <c r="V76" s="9">
        <f t="shared" si="33"/>
        <v>0</v>
      </c>
      <c r="W76" s="9">
        <f t="shared" si="34"/>
        <v>3792.7300567626953</v>
      </c>
    </row>
    <row r="77" spans="1:23" x14ac:dyDescent="0.2">
      <c r="A77" s="50">
        <v>45817</v>
      </c>
      <c r="B77" s="51" t="s">
        <v>139</v>
      </c>
      <c r="C77" s="45">
        <v>-4.2800002098083496</v>
      </c>
      <c r="D77" s="51" t="s">
        <v>206</v>
      </c>
      <c r="E77" s="51" t="s">
        <v>174</v>
      </c>
      <c r="F77" s="51" t="s">
        <v>174</v>
      </c>
      <c r="G77" s="52" t="s">
        <v>104</v>
      </c>
      <c r="H77" s="7"/>
      <c r="I77" s="9">
        <f t="shared" si="25"/>
        <v>0</v>
      </c>
      <c r="J77" s="9">
        <f t="shared" si="26"/>
        <v>-4.2800002098083496</v>
      </c>
      <c r="K77" s="9">
        <f t="shared" si="27"/>
        <v>0</v>
      </c>
      <c r="L77" s="8">
        <f t="shared" si="28"/>
        <v>-4.2800002098083496</v>
      </c>
      <c r="M77" s="8">
        <f t="shared" si="29"/>
        <v>0</v>
      </c>
      <c r="N77" s="8">
        <f t="shared" si="30"/>
        <v>0</v>
      </c>
      <c r="P77" s="8">
        <f t="shared" si="31"/>
        <v>-4.2800002098083496</v>
      </c>
      <c r="Q77" s="8">
        <f t="shared" si="22"/>
        <v>-4.2800002098083496</v>
      </c>
      <c r="R77" s="8">
        <f>IF(ISBLANK(A77),"",ABS($AB$1-(A77+10)))</f>
        <v>1265</v>
      </c>
      <c r="S77" s="8">
        <f>IF(ISBLANK(A77),"",ABS($AB$2-(A77+$AA$5)))</f>
        <v>1077</v>
      </c>
      <c r="T77" s="8">
        <f t="shared" si="24"/>
        <v>-3394.1000075340271</v>
      </c>
      <c r="U77" s="9">
        <f t="shared" si="32"/>
        <v>3394.1000075340271</v>
      </c>
      <c r="V77" s="9">
        <f t="shared" si="33"/>
        <v>0</v>
      </c>
      <c r="W77" s="9">
        <f t="shared" si="34"/>
        <v>3792.7300567626953</v>
      </c>
    </row>
    <row r="78" spans="1:23" x14ac:dyDescent="0.2">
      <c r="A78" s="47">
        <v>45817</v>
      </c>
      <c r="B78" s="48" t="s">
        <v>384</v>
      </c>
      <c r="C78" s="44">
        <v>-3.2400000095367432</v>
      </c>
      <c r="D78" s="48" t="s">
        <v>205</v>
      </c>
      <c r="E78" s="48" t="s">
        <v>174</v>
      </c>
      <c r="F78" s="48" t="s">
        <v>174</v>
      </c>
      <c r="G78" s="49" t="s">
        <v>104</v>
      </c>
      <c r="H78" s="7"/>
      <c r="I78" s="9">
        <f t="shared" si="25"/>
        <v>0</v>
      </c>
      <c r="J78" s="9">
        <f t="shared" si="26"/>
        <v>-3.2400000095367432</v>
      </c>
      <c r="K78" s="9">
        <f t="shared" si="27"/>
        <v>0</v>
      </c>
      <c r="L78" s="8">
        <f t="shared" si="28"/>
        <v>-3.2400000095367432</v>
      </c>
      <c r="M78" s="8">
        <f t="shared" si="29"/>
        <v>0</v>
      </c>
      <c r="N78" s="8">
        <f t="shared" si="30"/>
        <v>0</v>
      </c>
      <c r="P78" s="8">
        <f t="shared" si="31"/>
        <v>-3.2400000095367432</v>
      </c>
      <c r="Q78" s="8">
        <f t="shared" si="22"/>
        <v>-3.2400000095367432</v>
      </c>
      <c r="R78" s="8">
        <f>IF(ISBLANK(A78),"",ABS($AB$1-(A78+10)))</f>
        <v>1265</v>
      </c>
      <c r="S78" s="8">
        <f>IF(ISBLANK(A78),"",ABS($AB$2-(A78+$AA$5)))</f>
        <v>1077</v>
      </c>
      <c r="T78" s="8">
        <f t="shared" si="24"/>
        <v>-3397.3400075435638</v>
      </c>
      <c r="U78" s="9">
        <f t="shared" si="32"/>
        <v>3397.3400075435638</v>
      </c>
      <c r="V78" s="9">
        <f t="shared" si="33"/>
        <v>0</v>
      </c>
      <c r="W78" s="9">
        <f t="shared" si="34"/>
        <v>3792.7300567626953</v>
      </c>
    </row>
    <row r="79" spans="1:23" x14ac:dyDescent="0.2">
      <c r="A79" s="50">
        <v>45817</v>
      </c>
      <c r="B79" s="51" t="s">
        <v>385</v>
      </c>
      <c r="C79" s="45">
        <v>-300</v>
      </c>
      <c r="D79" s="51" t="s">
        <v>216</v>
      </c>
      <c r="E79" s="51" t="s">
        <v>174</v>
      </c>
      <c r="F79" s="51" t="s">
        <v>174</v>
      </c>
      <c r="G79" s="52" t="s">
        <v>104</v>
      </c>
      <c r="H79" s="7"/>
      <c r="I79" s="9">
        <f t="shared" si="25"/>
        <v>0</v>
      </c>
      <c r="J79" s="9">
        <f t="shared" si="26"/>
        <v>-300</v>
      </c>
      <c r="K79" s="9">
        <f t="shared" si="27"/>
        <v>0</v>
      </c>
      <c r="L79" s="8">
        <f t="shared" si="28"/>
        <v>-300</v>
      </c>
      <c r="M79" s="8">
        <f t="shared" si="29"/>
        <v>0</v>
      </c>
      <c r="N79" s="8">
        <f t="shared" si="30"/>
        <v>0</v>
      </c>
      <c r="P79" s="8">
        <f t="shared" si="31"/>
        <v>-300</v>
      </c>
      <c r="Q79" s="8">
        <f t="shared" si="22"/>
        <v>-300</v>
      </c>
      <c r="R79" s="8">
        <f>IF(ISBLANK(A79),"",ABS($AB$1-(A79+10)))</f>
        <v>1265</v>
      </c>
      <c r="S79" s="8">
        <f>IF(ISBLANK(A79),"",ABS($AB$2-(A79+$AA$5)))</f>
        <v>1077</v>
      </c>
      <c r="T79" s="8">
        <f t="shared" si="24"/>
        <v>-3697.3400075435638</v>
      </c>
      <c r="U79" s="9">
        <f t="shared" si="32"/>
        <v>3697.3400075435638</v>
      </c>
      <c r="V79" s="9">
        <f t="shared" si="33"/>
        <v>0</v>
      </c>
      <c r="W79" s="9">
        <f t="shared" si="34"/>
        <v>3792.7300567626953</v>
      </c>
    </row>
    <row r="80" spans="1:23" x14ac:dyDescent="0.2">
      <c r="A80" s="47">
        <v>45817</v>
      </c>
      <c r="B80" s="48" t="s">
        <v>386</v>
      </c>
      <c r="C80" s="44">
        <v>-474.6400146484375</v>
      </c>
      <c r="D80" s="48" t="s">
        <v>223</v>
      </c>
      <c r="E80" s="48" t="s">
        <v>174</v>
      </c>
      <c r="F80" s="48" t="s">
        <v>174</v>
      </c>
      <c r="G80" s="49" t="s">
        <v>104</v>
      </c>
      <c r="H80" s="7"/>
      <c r="I80" s="9">
        <f t="shared" si="25"/>
        <v>0</v>
      </c>
      <c r="J80" s="9">
        <f t="shared" si="26"/>
        <v>-474.6400146484375</v>
      </c>
      <c r="K80" s="9">
        <f t="shared" si="27"/>
        <v>0</v>
      </c>
      <c r="L80" s="8">
        <f t="shared" si="28"/>
        <v>-474.6400146484375</v>
      </c>
      <c r="M80" s="8">
        <f t="shared" si="29"/>
        <v>0</v>
      </c>
      <c r="N80" s="8">
        <f t="shared" si="30"/>
        <v>0</v>
      </c>
      <c r="P80" s="8">
        <f t="shared" si="31"/>
        <v>-474.6400146484375</v>
      </c>
      <c r="Q80" s="8">
        <f t="shared" si="22"/>
        <v>-474.6400146484375</v>
      </c>
      <c r="R80" s="8">
        <f>IF(ISBLANK(A80),"",ABS($AB$1-(A80+10)))</f>
        <v>1265</v>
      </c>
      <c r="S80" s="8">
        <f>IF(ISBLANK(A80),"",ABS($AB$2-(A80+$AA$5)))</f>
        <v>1077</v>
      </c>
      <c r="T80" s="8">
        <f t="shared" si="24"/>
        <v>-4171.9800221920013</v>
      </c>
      <c r="U80" s="9">
        <f t="shared" si="32"/>
        <v>4171.9800221920013</v>
      </c>
      <c r="V80" s="9">
        <f t="shared" si="33"/>
        <v>0</v>
      </c>
      <c r="W80" s="9">
        <f t="shared" si="34"/>
        <v>3792.7300567626953</v>
      </c>
    </row>
    <row r="81" spans="1:23" x14ac:dyDescent="0.2">
      <c r="A81" s="50">
        <v>45818</v>
      </c>
      <c r="B81" s="51" t="s">
        <v>133</v>
      </c>
      <c r="C81" s="45">
        <v>-2.5899999141693115</v>
      </c>
      <c r="D81" s="51" t="s">
        <v>206</v>
      </c>
      <c r="E81" s="51" t="s">
        <v>174</v>
      </c>
      <c r="F81" s="51" t="s">
        <v>174</v>
      </c>
      <c r="G81" s="52" t="s">
        <v>105</v>
      </c>
      <c r="H81" s="7"/>
      <c r="I81" s="9">
        <f t="shared" si="25"/>
        <v>0</v>
      </c>
      <c r="J81" s="9">
        <f t="shared" si="26"/>
        <v>0</v>
      </c>
      <c r="K81" s="9">
        <f t="shared" si="27"/>
        <v>-2.5899999141693115</v>
      </c>
      <c r="L81" s="8">
        <f t="shared" si="28"/>
        <v>-2.5899999141693115</v>
      </c>
      <c r="M81" s="8">
        <f t="shared" si="29"/>
        <v>0</v>
      </c>
      <c r="N81" s="8">
        <f t="shared" si="30"/>
        <v>0</v>
      </c>
      <c r="P81" s="8">
        <f t="shared" si="31"/>
        <v>-2.5899999141693115</v>
      </c>
      <c r="Q81" s="8">
        <f t="shared" si="22"/>
        <v>-2.5899999141693115</v>
      </c>
      <c r="R81" s="8">
        <f>IF(ISBLANK(A81),"",ABS($AB$1-(A81+10)))</f>
        <v>1266</v>
      </c>
      <c r="S81" s="8">
        <f>IF(ISBLANK(A81),"",ABS($AB$2-(A81+$AA$5)))</f>
        <v>1078</v>
      </c>
      <c r="T81" s="8">
        <f t="shared" si="24"/>
        <v>-4174.5700221061707</v>
      </c>
      <c r="U81" s="9">
        <f t="shared" si="32"/>
        <v>4174.5700221061707</v>
      </c>
      <c r="V81" s="9">
        <f t="shared" si="33"/>
        <v>0</v>
      </c>
      <c r="W81" s="9">
        <f t="shared" si="34"/>
        <v>3792.7300567626953</v>
      </c>
    </row>
    <row r="82" spans="1:23" x14ac:dyDescent="0.2">
      <c r="A82" s="47">
        <v>45818</v>
      </c>
      <c r="B82" s="48" t="s">
        <v>387</v>
      </c>
      <c r="C82" s="44">
        <v>-14.979999542236328</v>
      </c>
      <c r="D82" s="48" t="s">
        <v>211</v>
      </c>
      <c r="E82" s="48" t="s">
        <v>174</v>
      </c>
      <c r="F82" s="48" t="s">
        <v>174</v>
      </c>
      <c r="G82" s="49" t="s">
        <v>105</v>
      </c>
      <c r="H82" s="7"/>
      <c r="I82" s="9">
        <f t="shared" si="25"/>
        <v>0</v>
      </c>
      <c r="J82" s="9">
        <f t="shared" si="26"/>
        <v>0</v>
      </c>
      <c r="K82" s="9">
        <f t="shared" si="27"/>
        <v>-14.979999542236328</v>
      </c>
      <c r="L82" s="8">
        <f t="shared" si="28"/>
        <v>-14.979999542236328</v>
      </c>
      <c r="M82" s="8">
        <f t="shared" si="29"/>
        <v>0</v>
      </c>
      <c r="N82" s="8">
        <f t="shared" si="30"/>
        <v>0</v>
      </c>
      <c r="P82" s="8">
        <f t="shared" si="31"/>
        <v>-14.979999542236328</v>
      </c>
      <c r="Q82" s="8">
        <f t="shared" si="22"/>
        <v>-14.979999542236328</v>
      </c>
      <c r="R82" s="8">
        <f>IF(ISBLANK(A82),"",ABS($AB$1-(A82+10)))</f>
        <v>1266</v>
      </c>
      <c r="S82" s="8">
        <f>IF(ISBLANK(A82),"",ABS($AB$2-(A82+$AA$5)))</f>
        <v>1078</v>
      </c>
      <c r="T82" s="8">
        <f t="shared" si="24"/>
        <v>-4189.550021648407</v>
      </c>
      <c r="U82" s="9">
        <f t="shared" si="32"/>
        <v>4189.550021648407</v>
      </c>
      <c r="V82" s="9">
        <f t="shared" si="33"/>
        <v>0</v>
      </c>
      <c r="W82" s="9">
        <f t="shared" si="34"/>
        <v>3792.7300567626953</v>
      </c>
    </row>
    <row r="83" spans="1:23" x14ac:dyDescent="0.2">
      <c r="A83" s="50">
        <v>45818</v>
      </c>
      <c r="B83" s="51" t="s">
        <v>388</v>
      </c>
      <c r="C83" s="45">
        <v>-441.8800048828125</v>
      </c>
      <c r="D83" s="51" t="s">
        <v>217</v>
      </c>
      <c r="E83" s="51" t="s">
        <v>174</v>
      </c>
      <c r="F83" s="51" t="s">
        <v>174</v>
      </c>
      <c r="G83" s="52" t="s">
        <v>104</v>
      </c>
      <c r="H83" s="7"/>
      <c r="I83" s="9">
        <f t="shared" si="25"/>
        <v>0</v>
      </c>
      <c r="J83" s="9">
        <f t="shared" si="26"/>
        <v>-441.8800048828125</v>
      </c>
      <c r="K83" s="9">
        <f t="shared" si="27"/>
        <v>0</v>
      </c>
      <c r="L83" s="8">
        <f t="shared" si="28"/>
        <v>-441.8800048828125</v>
      </c>
      <c r="M83" s="8">
        <f t="shared" si="29"/>
        <v>0</v>
      </c>
      <c r="N83" s="8">
        <f t="shared" si="30"/>
        <v>0</v>
      </c>
      <c r="P83" s="8">
        <f t="shared" si="31"/>
        <v>-441.8800048828125</v>
      </c>
      <c r="Q83" s="8">
        <f t="shared" si="22"/>
        <v>-441.8800048828125</v>
      </c>
      <c r="R83" s="8">
        <f>IF(ISBLANK(A83),"",ABS($AB$1-(A83+10)))</f>
        <v>1266</v>
      </c>
      <c r="S83" s="8">
        <f>IF(ISBLANK(A83),"",ABS($AB$2-(A83+$AA$5)))</f>
        <v>1078</v>
      </c>
      <c r="T83" s="8">
        <f t="shared" si="24"/>
        <v>-4631.4300265312195</v>
      </c>
      <c r="U83" s="9">
        <f t="shared" si="32"/>
        <v>4631.4300265312195</v>
      </c>
      <c r="V83" s="9">
        <f t="shared" si="33"/>
        <v>0</v>
      </c>
      <c r="W83" s="9">
        <f t="shared" si="34"/>
        <v>3792.7300567626953</v>
      </c>
    </row>
    <row r="84" spans="1:23" x14ac:dyDescent="0.2">
      <c r="A84" s="47">
        <v>45819</v>
      </c>
      <c r="B84" s="48" t="s">
        <v>137</v>
      </c>
      <c r="C84" s="44">
        <v>-5.880000114440918</v>
      </c>
      <c r="D84" s="48" t="s">
        <v>206</v>
      </c>
      <c r="E84" s="48" t="s">
        <v>174</v>
      </c>
      <c r="F84" s="48" t="s">
        <v>174</v>
      </c>
      <c r="G84" s="49" t="s">
        <v>105</v>
      </c>
      <c r="H84" s="7"/>
      <c r="I84" s="9">
        <f t="shared" si="25"/>
        <v>0</v>
      </c>
      <c r="J84" s="9">
        <f t="shared" si="26"/>
        <v>0</v>
      </c>
      <c r="K84" s="9">
        <f t="shared" si="27"/>
        <v>-5.880000114440918</v>
      </c>
      <c r="L84" s="8">
        <f t="shared" si="28"/>
        <v>-5.880000114440918</v>
      </c>
      <c r="M84" s="8">
        <f t="shared" si="29"/>
        <v>0</v>
      </c>
      <c r="N84" s="8">
        <f t="shared" si="30"/>
        <v>0</v>
      </c>
      <c r="P84" s="8">
        <f t="shared" si="31"/>
        <v>-5.880000114440918</v>
      </c>
      <c r="Q84" s="8">
        <f t="shared" si="22"/>
        <v>-5.880000114440918</v>
      </c>
      <c r="R84" s="8">
        <f>IF(ISBLANK(A84),"",ABS($AB$1-(A84+10)))</f>
        <v>1267</v>
      </c>
      <c r="S84" s="8">
        <f>IF(ISBLANK(A84),"",ABS($AB$2-(A84+$AA$5)))</f>
        <v>1079</v>
      </c>
      <c r="T84" s="8">
        <f t="shared" si="24"/>
        <v>-4637.3100266456604</v>
      </c>
      <c r="U84" s="9">
        <f t="shared" si="32"/>
        <v>4637.3100266456604</v>
      </c>
      <c r="V84" s="9">
        <f t="shared" si="33"/>
        <v>0</v>
      </c>
      <c r="W84" s="9">
        <f t="shared" si="34"/>
        <v>3792.7300567626953</v>
      </c>
    </row>
    <row r="85" spans="1:23" x14ac:dyDescent="0.2">
      <c r="A85" s="50">
        <v>45819</v>
      </c>
      <c r="B85" s="51" t="s">
        <v>272</v>
      </c>
      <c r="C85" s="45">
        <v>1182.3599853515625</v>
      </c>
      <c r="D85" s="51" t="s">
        <v>209</v>
      </c>
      <c r="E85" s="51" t="s">
        <v>128</v>
      </c>
      <c r="F85" s="51" t="s">
        <v>174</v>
      </c>
      <c r="G85" s="52" t="s">
        <v>105</v>
      </c>
      <c r="H85" s="7"/>
      <c r="I85" s="9">
        <f t="shared" si="25"/>
        <v>0</v>
      </c>
      <c r="J85" s="9">
        <f t="shared" si="26"/>
        <v>0</v>
      </c>
      <c r="K85" s="9">
        <f t="shared" si="27"/>
        <v>0</v>
      </c>
      <c r="L85" s="8">
        <f t="shared" si="28"/>
        <v>0</v>
      </c>
      <c r="M85" s="8">
        <f t="shared" si="29"/>
        <v>0</v>
      </c>
      <c r="N85" s="8">
        <f t="shared" si="30"/>
        <v>0</v>
      </c>
      <c r="P85" s="8">
        <f t="shared" si="31"/>
        <v>0</v>
      </c>
      <c r="Q85" s="8">
        <f t="shared" si="22"/>
        <v>0</v>
      </c>
      <c r="R85" s="8">
        <f>IF(ISBLANK(A85),"",ABS($AB$1-(A85+10)))</f>
        <v>1267</v>
      </c>
      <c r="S85" s="8">
        <f>IF(ISBLANK(A85),"",ABS($AB$2-(A85+$AA$5)))</f>
        <v>1079</v>
      </c>
      <c r="T85" s="8">
        <f t="shared" si="24"/>
        <v>-4637.3100266456604</v>
      </c>
      <c r="U85" s="9">
        <f t="shared" si="32"/>
        <v>4637.3100266456604</v>
      </c>
      <c r="V85" s="9">
        <f t="shared" si="33"/>
        <v>1182.3599853515625</v>
      </c>
      <c r="W85" s="9">
        <f t="shared" si="34"/>
        <v>4975.0900421142578</v>
      </c>
    </row>
    <row r="86" spans="1:23" x14ac:dyDescent="0.2">
      <c r="A86" s="47">
        <v>45820</v>
      </c>
      <c r="B86" s="48" t="s">
        <v>389</v>
      </c>
      <c r="C86" s="44">
        <v>-1182.3599853515625</v>
      </c>
      <c r="D86" s="48" t="s">
        <v>212</v>
      </c>
      <c r="E86" s="48" t="s">
        <v>128</v>
      </c>
      <c r="F86" s="48" t="s">
        <v>174</v>
      </c>
      <c r="G86" s="49" t="s">
        <v>104</v>
      </c>
      <c r="H86" s="7"/>
      <c r="I86" s="9">
        <f t="shared" si="25"/>
        <v>0</v>
      </c>
      <c r="J86" s="9">
        <f t="shared" si="26"/>
        <v>-1182.3599853515625</v>
      </c>
      <c r="K86" s="9">
        <f t="shared" si="27"/>
        <v>0</v>
      </c>
      <c r="L86" s="8">
        <f t="shared" si="28"/>
        <v>0</v>
      </c>
      <c r="M86" s="8">
        <f t="shared" si="29"/>
        <v>0</v>
      </c>
      <c r="N86" s="8">
        <f t="shared" si="30"/>
        <v>0</v>
      </c>
      <c r="P86" s="8">
        <f t="shared" si="31"/>
        <v>0</v>
      </c>
      <c r="Q86" s="8">
        <f t="shared" si="22"/>
        <v>0</v>
      </c>
      <c r="R86" s="8">
        <f>IF(ISBLANK(A86),"",ABS($AB$1-(A86+10)))</f>
        <v>1268</v>
      </c>
      <c r="S86" s="8">
        <f>IF(ISBLANK(A86),"",ABS($AB$2-(A86+$AA$5)))</f>
        <v>1080</v>
      </c>
      <c r="T86" s="8">
        <f t="shared" si="24"/>
        <v>-4637.3100266456604</v>
      </c>
      <c r="U86" s="9">
        <f t="shared" si="32"/>
        <v>4637.3100266456604</v>
      </c>
      <c r="V86" s="9">
        <f t="shared" si="33"/>
        <v>0</v>
      </c>
      <c r="W86" s="9">
        <f t="shared" si="34"/>
        <v>4975.0900421142578</v>
      </c>
    </row>
    <row r="87" spans="1:23" x14ac:dyDescent="0.2">
      <c r="A87" s="50">
        <v>45820</v>
      </c>
      <c r="B87" s="51" t="s">
        <v>390</v>
      </c>
      <c r="C87" s="45">
        <v>2877.22998046875</v>
      </c>
      <c r="D87" s="51" t="s">
        <v>213</v>
      </c>
      <c r="E87" s="51" t="s">
        <v>174</v>
      </c>
      <c r="F87" s="51" t="s">
        <v>174</v>
      </c>
      <c r="G87" s="52" t="s">
        <v>104</v>
      </c>
      <c r="H87" s="7"/>
      <c r="I87" s="9">
        <f t="shared" si="25"/>
        <v>0</v>
      </c>
      <c r="J87" s="9">
        <f t="shared" si="26"/>
        <v>2877.22998046875</v>
      </c>
      <c r="K87" s="9">
        <f t="shared" si="27"/>
        <v>0</v>
      </c>
      <c r="L87" s="8">
        <f t="shared" si="28"/>
        <v>0</v>
      </c>
      <c r="M87" s="8">
        <f t="shared" si="29"/>
        <v>0</v>
      </c>
      <c r="N87" s="8">
        <f t="shared" si="30"/>
        <v>0</v>
      </c>
      <c r="P87" s="8">
        <f t="shared" si="31"/>
        <v>0</v>
      </c>
      <c r="Q87" s="8">
        <f t="shared" si="22"/>
        <v>0</v>
      </c>
      <c r="R87" s="8">
        <f>IF(ISBLANK(A87),"",ABS($AB$1-(A87+10)))</f>
        <v>1268</v>
      </c>
      <c r="S87" s="8">
        <f>IF(ISBLANK(A87),"",ABS($AB$2-(A87+$AA$5)))</f>
        <v>1080</v>
      </c>
      <c r="T87" s="8">
        <f t="shared" si="24"/>
        <v>-4637.3100266456604</v>
      </c>
      <c r="U87" s="9">
        <f t="shared" si="32"/>
        <v>4637.3100266456604</v>
      </c>
      <c r="V87" s="9">
        <f t="shared" si="33"/>
        <v>2877.22998046875</v>
      </c>
      <c r="W87" s="9">
        <f t="shared" si="34"/>
        <v>7852.3200225830078</v>
      </c>
    </row>
    <row r="88" spans="1:23" x14ac:dyDescent="0.2">
      <c r="A88" s="47">
        <v>45821</v>
      </c>
      <c r="B88" s="48" t="s">
        <v>391</v>
      </c>
      <c r="C88" s="44">
        <v>-12.5</v>
      </c>
      <c r="D88" s="48" t="s">
        <v>211</v>
      </c>
      <c r="E88" s="48" t="s">
        <v>174</v>
      </c>
      <c r="F88" s="48" t="s">
        <v>103</v>
      </c>
      <c r="G88" s="49" t="s">
        <v>105</v>
      </c>
      <c r="H88" s="7"/>
      <c r="I88" s="9">
        <f t="shared" si="25"/>
        <v>-12.5</v>
      </c>
      <c r="J88" s="9">
        <f t="shared" si="26"/>
        <v>0</v>
      </c>
      <c r="K88" s="9">
        <f t="shared" si="27"/>
        <v>-12.5</v>
      </c>
      <c r="L88" s="8">
        <f t="shared" si="28"/>
        <v>0</v>
      </c>
      <c r="M88" s="8">
        <f t="shared" si="29"/>
        <v>0</v>
      </c>
      <c r="N88" s="8">
        <f t="shared" si="30"/>
        <v>0</v>
      </c>
      <c r="P88" s="8">
        <f t="shared" si="31"/>
        <v>-12.5</v>
      </c>
      <c r="Q88" s="8">
        <f t="shared" si="22"/>
        <v>-12.5</v>
      </c>
      <c r="R88" s="8">
        <f>IF(ISBLANK(A88),"",ABS($AB$1-(A88+10)))</f>
        <v>1269</v>
      </c>
      <c r="S88" s="8">
        <f>IF(ISBLANK(A88),"",ABS($AB$2-(A88+$AA$5)))</f>
        <v>1081</v>
      </c>
      <c r="T88" s="8">
        <f t="shared" si="24"/>
        <v>-4649.8100266456604</v>
      </c>
      <c r="U88" s="9">
        <f t="shared" si="32"/>
        <v>4649.8100266456604</v>
      </c>
      <c r="V88" s="9">
        <f t="shared" si="33"/>
        <v>0</v>
      </c>
      <c r="W88" s="9">
        <f t="shared" si="34"/>
        <v>7852.3200225830078</v>
      </c>
    </row>
    <row r="89" spans="1:23" x14ac:dyDescent="0.2">
      <c r="A89" s="50">
        <v>45821</v>
      </c>
      <c r="B89" s="51" t="s">
        <v>392</v>
      </c>
      <c r="C89" s="45">
        <v>-77.720001220703125</v>
      </c>
      <c r="D89" s="51" t="s">
        <v>205</v>
      </c>
      <c r="E89" s="51" t="s">
        <v>174</v>
      </c>
      <c r="F89" s="51" t="s">
        <v>103</v>
      </c>
      <c r="G89" s="52" t="s">
        <v>104</v>
      </c>
      <c r="H89" s="7"/>
      <c r="I89" s="9">
        <f t="shared" si="25"/>
        <v>-77.720001220703125</v>
      </c>
      <c r="J89" s="9">
        <f t="shared" si="26"/>
        <v>-77.720001220703125</v>
      </c>
      <c r="K89" s="9">
        <f t="shared" si="27"/>
        <v>0</v>
      </c>
      <c r="L89" s="8">
        <f t="shared" si="28"/>
        <v>0</v>
      </c>
      <c r="M89" s="8">
        <f t="shared" si="29"/>
        <v>0</v>
      </c>
      <c r="N89" s="8">
        <f t="shared" si="30"/>
        <v>0</v>
      </c>
      <c r="P89" s="8">
        <f t="shared" si="31"/>
        <v>-77.720001220703125</v>
      </c>
      <c r="Q89" s="8">
        <f t="shared" si="22"/>
        <v>-77.720001220703125</v>
      </c>
      <c r="R89" s="8">
        <f>IF(ISBLANK(A89),"",ABS($AB$1-(A89+10)))</f>
        <v>1269</v>
      </c>
      <c r="S89" s="8">
        <f>IF(ISBLANK(A89),"",ABS($AB$2-(A89+$AA$5)))</f>
        <v>1081</v>
      </c>
      <c r="T89" s="8">
        <f t="shared" si="24"/>
        <v>-4727.5300278663635</v>
      </c>
      <c r="U89" s="9">
        <f t="shared" si="32"/>
        <v>4727.5300278663635</v>
      </c>
      <c r="V89" s="9">
        <f t="shared" si="33"/>
        <v>0</v>
      </c>
      <c r="W89" s="9">
        <f t="shared" si="34"/>
        <v>7852.3200225830078</v>
      </c>
    </row>
    <row r="90" spans="1:23" x14ac:dyDescent="0.2">
      <c r="A90" s="47">
        <v>45821</v>
      </c>
      <c r="B90" s="48" t="s">
        <v>393</v>
      </c>
      <c r="C90" s="44">
        <v>-2.9900000095367432</v>
      </c>
      <c r="D90" s="48" t="s">
        <v>206</v>
      </c>
      <c r="E90" s="48" t="s">
        <v>174</v>
      </c>
      <c r="F90" s="48" t="s">
        <v>174</v>
      </c>
      <c r="G90" s="49" t="s">
        <v>104</v>
      </c>
      <c r="H90" s="7"/>
      <c r="I90" s="9">
        <f t="shared" si="25"/>
        <v>0</v>
      </c>
      <c r="J90" s="9">
        <f t="shared" si="26"/>
        <v>-2.9900000095367432</v>
      </c>
      <c r="K90" s="9">
        <f t="shared" si="27"/>
        <v>0</v>
      </c>
      <c r="L90" s="8">
        <f t="shared" si="28"/>
        <v>-2.9900000095367432</v>
      </c>
      <c r="M90" s="8">
        <f t="shared" si="29"/>
        <v>0</v>
      </c>
      <c r="N90" s="8">
        <f t="shared" si="30"/>
        <v>0</v>
      </c>
      <c r="P90" s="8">
        <f t="shared" si="31"/>
        <v>-2.9900000095367432</v>
      </c>
      <c r="Q90" s="8">
        <f t="shared" si="22"/>
        <v>-2.9900000095367432</v>
      </c>
      <c r="R90" s="8">
        <f>IF(ISBLANK(A90),"",ABS($AB$1-(A90+10)))</f>
        <v>1269</v>
      </c>
      <c r="S90" s="8">
        <f>IF(ISBLANK(A90),"",ABS($AB$2-(A90+$AA$5)))</f>
        <v>1081</v>
      </c>
      <c r="T90" s="8">
        <f t="shared" si="24"/>
        <v>-4730.5200278759003</v>
      </c>
      <c r="U90" s="9">
        <f t="shared" si="32"/>
        <v>4730.5200278759003</v>
      </c>
      <c r="V90" s="9">
        <f t="shared" si="33"/>
        <v>0</v>
      </c>
      <c r="W90" s="9">
        <f t="shared" si="34"/>
        <v>7852.3200225830078</v>
      </c>
    </row>
    <row r="91" spans="1:23" x14ac:dyDescent="0.2">
      <c r="A91" s="50">
        <v>45822</v>
      </c>
      <c r="B91" s="51" t="s">
        <v>394</v>
      </c>
      <c r="C91" s="45">
        <v>-27</v>
      </c>
      <c r="D91" s="51" t="s">
        <v>395</v>
      </c>
      <c r="E91" s="51" t="s">
        <v>174</v>
      </c>
      <c r="F91" s="51" t="s">
        <v>174</v>
      </c>
      <c r="G91" s="52" t="s">
        <v>104</v>
      </c>
      <c r="H91" s="7"/>
      <c r="I91" s="9">
        <f t="shared" si="25"/>
        <v>0</v>
      </c>
      <c r="J91" s="9">
        <f t="shared" si="26"/>
        <v>-27</v>
      </c>
      <c r="K91" s="9">
        <f t="shared" si="27"/>
        <v>0</v>
      </c>
      <c r="L91" s="8">
        <f t="shared" si="28"/>
        <v>-27</v>
      </c>
      <c r="M91" s="8">
        <f t="shared" si="29"/>
        <v>0</v>
      </c>
      <c r="N91" s="8">
        <f t="shared" si="30"/>
        <v>0</v>
      </c>
      <c r="P91" s="8">
        <f t="shared" si="31"/>
        <v>-27</v>
      </c>
      <c r="Q91" s="8">
        <f t="shared" si="22"/>
        <v>-27</v>
      </c>
      <c r="R91" s="8">
        <f>IF(ISBLANK(A91),"",ABS($AB$1-(A91+10)))</f>
        <v>1270</v>
      </c>
      <c r="S91" s="8">
        <f>IF(ISBLANK(A91),"",ABS($AB$2-(A91+$AA$5)))</f>
        <v>1082</v>
      </c>
      <c r="T91" s="8">
        <f t="shared" si="24"/>
        <v>-4757.5200278759003</v>
      </c>
      <c r="U91" s="9">
        <f t="shared" si="32"/>
        <v>4757.5200278759003</v>
      </c>
      <c r="V91" s="9">
        <f t="shared" si="33"/>
        <v>0</v>
      </c>
      <c r="W91" s="9">
        <f t="shared" si="34"/>
        <v>7852.3200225830078</v>
      </c>
    </row>
    <row r="92" spans="1:23" x14ac:dyDescent="0.2">
      <c r="A92" s="21"/>
      <c r="B92" s="19"/>
      <c r="C92" s="19"/>
      <c r="D92" s="19"/>
      <c r="E92" s="19"/>
      <c r="F92" s="19"/>
      <c r="G92" s="22"/>
      <c r="H92" s="7"/>
      <c r="I92" s="9"/>
      <c r="J92" s="9"/>
      <c r="K92" s="9"/>
      <c r="L92" s="8"/>
      <c r="M92" s="8"/>
      <c r="N92" s="8"/>
      <c r="P92" s="8"/>
      <c r="Q92" s="8"/>
      <c r="R92" s="8"/>
      <c r="S92" s="8"/>
      <c r="T92" s="8"/>
      <c r="U92" s="9"/>
      <c r="V92" s="9"/>
      <c r="W92" s="9">
        <f t="shared" si="34"/>
        <v>7852.3200225830078</v>
      </c>
    </row>
    <row r="93" spans="1:23" x14ac:dyDescent="0.2">
      <c r="A93" s="23"/>
      <c r="B93" s="20"/>
      <c r="C93" s="20"/>
      <c r="D93" s="20"/>
      <c r="E93" s="20"/>
      <c r="F93" s="20"/>
      <c r="G93" s="24"/>
      <c r="H93" s="7"/>
      <c r="I93" s="9"/>
      <c r="J93" s="9"/>
      <c r="K93" s="9"/>
      <c r="L93" s="8"/>
      <c r="M93" s="8"/>
      <c r="N93" s="8"/>
      <c r="P93" s="8"/>
      <c r="Q93" s="8"/>
      <c r="R93" s="8"/>
      <c r="S93" s="8"/>
      <c r="T93" s="8"/>
      <c r="U93" s="9"/>
      <c r="V93" s="9"/>
      <c r="W93" s="9">
        <f t="shared" si="34"/>
        <v>7852.3200225830078</v>
      </c>
    </row>
    <row r="94" spans="1:23" x14ac:dyDescent="0.2">
      <c r="A94" s="21"/>
      <c r="B94" s="19"/>
      <c r="C94" s="19"/>
      <c r="D94" s="19"/>
      <c r="E94" s="19"/>
      <c r="F94" s="19"/>
      <c r="G94" s="22"/>
      <c r="H94" s="7"/>
      <c r="I94" s="9"/>
      <c r="J94" s="9"/>
      <c r="K94" s="9"/>
      <c r="L94" s="8"/>
      <c r="M94" s="8"/>
      <c r="N94" s="8"/>
      <c r="P94" s="8"/>
      <c r="Q94" s="8"/>
      <c r="R94" s="8"/>
      <c r="S94" s="8"/>
      <c r="T94" s="8"/>
      <c r="U94" s="9"/>
      <c r="V94" s="9"/>
      <c r="W94" s="9">
        <f t="shared" si="34"/>
        <v>7852.3200225830078</v>
      </c>
    </row>
    <row r="95" spans="1:23" x14ac:dyDescent="0.2">
      <c r="A95" s="23"/>
      <c r="B95" s="20"/>
      <c r="C95" s="20"/>
      <c r="D95" s="20"/>
      <c r="E95" s="20"/>
      <c r="F95" s="20"/>
      <c r="G95" s="24"/>
      <c r="H95" s="7"/>
      <c r="I95" s="9"/>
      <c r="J95" s="9"/>
      <c r="K95" s="9"/>
      <c r="L95" s="8"/>
      <c r="M95" s="8"/>
      <c r="N95" s="8"/>
      <c r="P95" s="8"/>
      <c r="Q95" s="8"/>
      <c r="R95" s="8"/>
      <c r="S95" s="8"/>
      <c r="T95" s="8"/>
      <c r="U95" s="9"/>
      <c r="V95" s="9"/>
      <c r="W95" s="9">
        <f t="shared" si="34"/>
        <v>7852.3200225830078</v>
      </c>
    </row>
    <row r="96" spans="1:23" x14ac:dyDescent="0.2">
      <c r="A96" s="21"/>
      <c r="B96" s="19"/>
      <c r="C96" s="19"/>
      <c r="D96" s="19"/>
      <c r="E96" s="19"/>
      <c r="F96" s="19"/>
      <c r="G96" s="22"/>
      <c r="H96" s="7"/>
      <c r="I96" s="9"/>
      <c r="J96" s="9"/>
      <c r="K96" s="9"/>
      <c r="L96" s="8"/>
      <c r="M96" s="8"/>
      <c r="N96" s="8"/>
      <c r="P96" s="8"/>
      <c r="Q96" s="8"/>
      <c r="R96" s="8"/>
      <c r="S96" s="8"/>
      <c r="T96" s="8"/>
      <c r="U96" s="9"/>
      <c r="V96" s="9"/>
      <c r="W96" s="9">
        <f t="shared" si="34"/>
        <v>7852.3200225830078</v>
      </c>
    </row>
    <row r="97" spans="1:23" x14ac:dyDescent="0.2">
      <c r="A97" s="23"/>
      <c r="B97" s="20"/>
      <c r="C97" s="20"/>
      <c r="D97" s="20"/>
      <c r="E97" s="20"/>
      <c r="F97" s="20"/>
      <c r="G97" s="24"/>
      <c r="H97" s="7"/>
      <c r="I97" s="9"/>
      <c r="J97" s="9"/>
      <c r="K97" s="9"/>
      <c r="L97" s="8"/>
      <c r="M97" s="8"/>
      <c r="N97" s="8"/>
      <c r="P97" s="8"/>
      <c r="Q97" s="8"/>
      <c r="R97" s="8"/>
      <c r="S97" s="8"/>
      <c r="T97" s="8"/>
      <c r="U97" s="9"/>
      <c r="V97" s="9"/>
      <c r="W97" s="9">
        <f t="shared" si="34"/>
        <v>7852.3200225830078</v>
      </c>
    </row>
    <row r="98" spans="1:23" x14ac:dyDescent="0.2">
      <c r="A98" s="21"/>
      <c r="B98" s="19"/>
      <c r="C98" s="19"/>
      <c r="D98" s="19"/>
      <c r="E98" s="19"/>
      <c r="F98" s="19"/>
      <c r="G98" s="22"/>
      <c r="H98" s="7"/>
      <c r="I98" s="9"/>
      <c r="J98" s="9"/>
      <c r="K98" s="9"/>
      <c r="L98" s="8"/>
      <c r="M98" s="8"/>
      <c r="N98" s="8"/>
      <c r="P98" s="8"/>
      <c r="Q98" s="8"/>
      <c r="R98" s="8"/>
      <c r="S98" s="8"/>
      <c r="T98" s="8"/>
      <c r="U98" s="9"/>
      <c r="V98" s="9"/>
      <c r="W98" s="9">
        <f t="shared" si="34"/>
        <v>7852.3200225830078</v>
      </c>
    </row>
    <row r="99" spans="1:23" x14ac:dyDescent="0.2">
      <c r="A99" s="23"/>
      <c r="B99" s="20"/>
      <c r="C99" s="20"/>
      <c r="D99" s="20"/>
      <c r="E99" s="20"/>
      <c r="F99" s="20"/>
      <c r="G99" s="24"/>
      <c r="H99" s="7"/>
      <c r="I99" s="9"/>
      <c r="J99" s="9"/>
      <c r="K99" s="9"/>
      <c r="L99" s="8"/>
      <c r="M99" s="8"/>
      <c r="N99" s="8"/>
      <c r="P99" s="8"/>
      <c r="Q99" s="8"/>
      <c r="R99" s="8"/>
      <c r="S99" s="8"/>
      <c r="T99" s="8"/>
      <c r="U99" s="9"/>
      <c r="V99" s="9"/>
      <c r="W99" s="9">
        <f t="shared" si="34"/>
        <v>7852.3200225830078</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f t="shared" si="34"/>
        <v>7852.3200225830078</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f t="shared" si="34"/>
        <v>7852.3200225830078</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f t="shared" si="34"/>
        <v>7852.3200225830078</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f t="shared" si="34"/>
        <v>7852.3200225830078</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f t="shared" si="34"/>
        <v>7852.3200225830078</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f t="shared" si="34"/>
        <v>7852.3200225830078</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f t="shared" si="34"/>
        <v>7852.3200225830078</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f t="shared" si="34"/>
        <v>7852.3200225830078</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f t="shared" si="34"/>
        <v>7852.3200225830078</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f t="shared" si="34"/>
        <v>7852.3200225830078</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f t="shared" si="34"/>
        <v>7852.3200225830078</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f t="shared" si="34"/>
        <v>7852.3200225830078</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f t="shared" si="34"/>
        <v>7852.3200225830078</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f t="shared" si="34"/>
        <v>7852.3200225830078</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f t="shared" si="34"/>
        <v>7852.3200225830078</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f t="shared" si="34"/>
        <v>7852.3200225830078</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f t="shared" si="34"/>
        <v>7852.3200225830078</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f t="shared" si="34"/>
        <v>7852.3200225830078</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f t="shared" si="34"/>
        <v>7852.3200225830078</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f t="shared" si="34"/>
        <v>7852.3200225830078</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f t="shared" si="34"/>
        <v>7852.3200225830078</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f t="shared" si="34"/>
        <v>7852.3200225830078</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f t="shared" si="34"/>
        <v>7852.3200225830078</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f t="shared" si="34"/>
        <v>7852.3200225830078</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f t="shared" si="34"/>
        <v>7852.3200225830078</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f t="shared" si="34"/>
        <v>7852.3200225830078</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f t="shared" si="34"/>
        <v>7852.3200225830078</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f t="shared" si="34"/>
        <v>7852.3200225830078</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f t="shared" si="34"/>
        <v>7852.3200225830078</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f t="shared" si="34"/>
        <v>7852.3200225830078</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f t="shared" si="34"/>
        <v>7852.3200225830078</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f t="shared" si="34"/>
        <v>7852.3200225830078</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f t="shared" ref="W132:W193" si="35">W131+V132</f>
        <v>7852.3200225830078</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f t="shared" si="35"/>
        <v>7852.3200225830078</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f t="shared" si="35"/>
        <v>7852.3200225830078</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f t="shared" si="35"/>
        <v>7852.3200225830078</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f t="shared" si="35"/>
        <v>7852.3200225830078</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f t="shared" si="35"/>
        <v>7852.3200225830078</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f t="shared" si="35"/>
        <v>7852.3200225830078</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f t="shared" si="35"/>
        <v>7852.3200225830078</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f t="shared" si="35"/>
        <v>7852.3200225830078</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f t="shared" si="35"/>
        <v>7852.3200225830078</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f t="shared" si="35"/>
        <v>7852.3200225830078</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f t="shared" si="35"/>
        <v>7852.3200225830078</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f t="shared" si="35"/>
        <v>7852.3200225830078</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f t="shared" si="35"/>
        <v>7852.3200225830078</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f t="shared" si="35"/>
        <v>7852.3200225830078</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f t="shared" si="35"/>
        <v>7852.3200225830078</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f t="shared" si="35"/>
        <v>7852.3200225830078</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f t="shared" si="35"/>
        <v>7852.3200225830078</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f t="shared" si="35"/>
        <v>7852.3200225830078</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f t="shared" si="35"/>
        <v>7852.3200225830078</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f t="shared" si="35"/>
        <v>7852.3200225830078</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f t="shared" si="35"/>
        <v>7852.3200225830078</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f t="shared" si="35"/>
        <v>7852.3200225830078</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f t="shared" si="35"/>
        <v>7852.3200225830078</v>
      </c>
    </row>
    <row r="156" spans="1:23" x14ac:dyDescent="0.2">
      <c r="A156" s="21"/>
      <c r="B156" s="19"/>
      <c r="C156" s="19"/>
      <c r="D156" s="19"/>
      <c r="E156" s="19"/>
      <c r="F156" s="19"/>
      <c r="G156" s="22"/>
      <c r="I156" s="9">
        <f t="shared" ref="I156:I161" si="36">IF(EXACT(F156,"M"),C156,0)</f>
        <v>0</v>
      </c>
      <c r="J156" s="9">
        <f t="shared" ref="J156:J161" si="37">IF(EXACT(G156,"CheckingStarOneTXs"),C156,0)</f>
        <v>0</v>
      </c>
      <c r="K156" s="9">
        <f t="shared" ref="K156:K161" si="38">IF(AND(C156&lt;0,EXACT(G156,"VisaChaseTXs")),C156,0)</f>
        <v>0</v>
      </c>
      <c r="L156" s="8">
        <f t="shared" ref="L156:L161" si="39">IF(AND(AND(F156="",C156&lt;0),E156=""),C156,0)</f>
        <v>0</v>
      </c>
      <c r="M156" s="8">
        <f t="shared" ref="M156:M161" si="40">IF(F156="T",C156,0)</f>
        <v>0</v>
      </c>
      <c r="N156" s="8">
        <f t="shared" ref="N156:N161" si="41">IF(D156="Transfer Savings",C156,0)</f>
        <v>0</v>
      </c>
      <c r="P156" s="8">
        <f t="shared" ref="P156:P161" si="42">IF(AND(IF(C156&lt;0,C156,FALSE),E156&lt;&gt;"y"),C156,0)</f>
        <v>0</v>
      </c>
      <c r="Q156" s="8">
        <f t="shared" ref="Q156:Q164" si="43">P156</f>
        <v>0</v>
      </c>
      <c r="R156" s="8" t="str">
        <f>IF(ISBLANK(A156),"",ABS($AB$1-(A156+10)))</f>
        <v/>
      </c>
      <c r="S156" s="8" t="str">
        <f>IF(ISBLANK(A156),"",ABS($AB$2-(A156+$AA$5)))</f>
        <v/>
      </c>
      <c r="T156" s="8">
        <f t="shared" ref="T156:T170" si="44">T155+Q156</f>
        <v>0</v>
      </c>
      <c r="U156" s="9" t="str">
        <f t="shared" ref="U156:U178" si="45">IF(S156="","",ABS(T156))</f>
        <v/>
      </c>
      <c r="V156" s="9">
        <f t="shared" ref="V156:V193" si="46">IF(C156&gt;0,C156,0)</f>
        <v>0</v>
      </c>
      <c r="W156" s="9">
        <f t="shared" si="35"/>
        <v>7852.3200225830078</v>
      </c>
    </row>
    <row r="157" spans="1:23" x14ac:dyDescent="0.2">
      <c r="A157" s="23"/>
      <c r="B157" s="20"/>
      <c r="C157" s="20"/>
      <c r="D157" s="20"/>
      <c r="E157" s="20"/>
      <c r="F157" s="20"/>
      <c r="G157" s="24"/>
      <c r="I157" s="9">
        <f t="shared" si="36"/>
        <v>0</v>
      </c>
      <c r="J157" s="9">
        <f t="shared" si="37"/>
        <v>0</v>
      </c>
      <c r="K157" s="9">
        <f t="shared" si="38"/>
        <v>0</v>
      </c>
      <c r="L157" s="8">
        <f t="shared" si="39"/>
        <v>0</v>
      </c>
      <c r="M157" s="8">
        <f t="shared" si="40"/>
        <v>0</v>
      </c>
      <c r="N157" s="8">
        <f t="shared" si="41"/>
        <v>0</v>
      </c>
      <c r="P157" s="8">
        <f t="shared" si="42"/>
        <v>0</v>
      </c>
      <c r="Q157" s="8">
        <f t="shared" si="43"/>
        <v>0</v>
      </c>
      <c r="R157" s="8" t="str">
        <f>IF(ISBLANK(A157),"",ABS($AB$1-(A157+10)))</f>
        <v/>
      </c>
      <c r="S157" s="8" t="str">
        <f>IF(ISBLANK(A157),"",ABS($AB$2-(A157+$AA$5)))</f>
        <v/>
      </c>
      <c r="T157" s="8">
        <f t="shared" si="44"/>
        <v>0</v>
      </c>
      <c r="U157" s="9" t="str">
        <f t="shared" si="45"/>
        <v/>
      </c>
      <c r="V157" s="9">
        <f t="shared" si="46"/>
        <v>0</v>
      </c>
      <c r="W157" s="9">
        <f t="shared" si="35"/>
        <v>7852.3200225830078</v>
      </c>
    </row>
    <row r="158" spans="1:23" x14ac:dyDescent="0.2">
      <c r="A158" s="21"/>
      <c r="B158" s="19"/>
      <c r="C158" s="19"/>
      <c r="D158" s="19"/>
      <c r="E158" s="19"/>
      <c r="F158" s="19"/>
      <c r="G158" s="22"/>
      <c r="I158" s="9">
        <f t="shared" si="36"/>
        <v>0</v>
      </c>
      <c r="J158" s="9">
        <f t="shared" si="37"/>
        <v>0</v>
      </c>
      <c r="K158" s="9">
        <f t="shared" si="38"/>
        <v>0</v>
      </c>
      <c r="L158" s="8">
        <f t="shared" si="39"/>
        <v>0</v>
      </c>
      <c r="M158" s="8">
        <f t="shared" si="40"/>
        <v>0</v>
      </c>
      <c r="N158" s="8">
        <f t="shared" si="41"/>
        <v>0</v>
      </c>
      <c r="P158" s="8">
        <f t="shared" si="42"/>
        <v>0</v>
      </c>
      <c r="Q158" s="8">
        <f t="shared" si="43"/>
        <v>0</v>
      </c>
      <c r="R158" s="8" t="str">
        <f>IF(ISBLANK(A158),"",ABS($AB$1-(A158+10)))</f>
        <v/>
      </c>
      <c r="S158" s="8" t="str">
        <f>IF(ISBLANK(A158),"",ABS($AB$2-(A158+$AA$5)))</f>
        <v/>
      </c>
      <c r="T158" s="8">
        <f t="shared" si="44"/>
        <v>0</v>
      </c>
      <c r="U158" s="9" t="str">
        <f t="shared" si="45"/>
        <v/>
      </c>
      <c r="V158" s="9">
        <f t="shared" si="46"/>
        <v>0</v>
      </c>
      <c r="W158" s="9">
        <f t="shared" si="35"/>
        <v>7852.3200225830078</v>
      </c>
    </row>
    <row r="159" spans="1:23" x14ac:dyDescent="0.2">
      <c r="A159" s="23"/>
      <c r="B159" s="20"/>
      <c r="C159" s="20"/>
      <c r="D159" s="20"/>
      <c r="E159" s="20"/>
      <c r="F159" s="20"/>
      <c r="G159" s="24"/>
      <c r="I159" s="9">
        <f t="shared" si="36"/>
        <v>0</v>
      </c>
      <c r="J159" s="9">
        <f t="shared" si="37"/>
        <v>0</v>
      </c>
      <c r="K159" s="9">
        <f t="shared" si="38"/>
        <v>0</v>
      </c>
      <c r="L159" s="8">
        <f t="shared" si="39"/>
        <v>0</v>
      </c>
      <c r="M159" s="8">
        <f t="shared" si="40"/>
        <v>0</v>
      </c>
      <c r="N159" s="8">
        <f t="shared" si="41"/>
        <v>0</v>
      </c>
      <c r="P159" s="8">
        <f t="shared" si="42"/>
        <v>0</v>
      </c>
      <c r="Q159" s="8">
        <f t="shared" si="43"/>
        <v>0</v>
      </c>
      <c r="R159" s="8" t="str">
        <f>IF(ISBLANK(A159),"",ABS($AB$1-(A159+10)))</f>
        <v/>
      </c>
      <c r="S159" s="8" t="str">
        <f>IF(ISBLANK(A159),"",ABS($AB$2-(A159+$AA$5)))</f>
        <v/>
      </c>
      <c r="T159" s="8">
        <f t="shared" si="44"/>
        <v>0</v>
      </c>
      <c r="U159" s="9" t="str">
        <f t="shared" si="45"/>
        <v/>
      </c>
      <c r="V159" s="9">
        <f t="shared" si="46"/>
        <v>0</v>
      </c>
      <c r="W159" s="9">
        <f t="shared" si="35"/>
        <v>7852.3200225830078</v>
      </c>
    </row>
    <row r="160" spans="1:23" x14ac:dyDescent="0.2">
      <c r="A160" s="21"/>
      <c r="B160" s="19"/>
      <c r="C160" s="19"/>
      <c r="D160" s="19"/>
      <c r="E160" s="19"/>
      <c r="F160" s="19"/>
      <c r="G160" s="22"/>
      <c r="I160" s="9">
        <f t="shared" si="36"/>
        <v>0</v>
      </c>
      <c r="J160" s="9">
        <f t="shared" si="37"/>
        <v>0</v>
      </c>
      <c r="K160" s="9">
        <f t="shared" si="38"/>
        <v>0</v>
      </c>
      <c r="L160" s="8">
        <f t="shared" si="39"/>
        <v>0</v>
      </c>
      <c r="M160" s="8">
        <f t="shared" si="40"/>
        <v>0</v>
      </c>
      <c r="N160" s="8">
        <f t="shared" si="41"/>
        <v>0</v>
      </c>
      <c r="P160" s="8">
        <f t="shared" si="42"/>
        <v>0</v>
      </c>
      <c r="Q160" s="8">
        <f t="shared" si="43"/>
        <v>0</v>
      </c>
      <c r="R160" s="8" t="str">
        <f>IF(ISBLANK(A160),"",ABS($AB$1-(A160+10)))</f>
        <v/>
      </c>
      <c r="S160" s="8" t="str">
        <f>IF(ISBLANK(A160),"",ABS($AB$2-(A160+$AA$5)))</f>
        <v/>
      </c>
      <c r="T160" s="8">
        <f t="shared" si="44"/>
        <v>0</v>
      </c>
      <c r="U160" s="9" t="str">
        <f t="shared" si="45"/>
        <v/>
      </c>
      <c r="V160" s="9">
        <f t="shared" si="46"/>
        <v>0</v>
      </c>
      <c r="W160" s="9">
        <f t="shared" si="35"/>
        <v>7852.3200225830078</v>
      </c>
    </row>
    <row r="161" spans="1:23" x14ac:dyDescent="0.2">
      <c r="A161" s="23"/>
      <c r="B161" s="20"/>
      <c r="C161" s="20"/>
      <c r="D161" s="20"/>
      <c r="E161" s="20"/>
      <c r="F161" s="20"/>
      <c r="G161" s="24"/>
      <c r="I161" s="9">
        <f t="shared" si="36"/>
        <v>0</v>
      </c>
      <c r="J161" s="9">
        <f t="shared" si="37"/>
        <v>0</v>
      </c>
      <c r="K161" s="9">
        <f t="shared" si="38"/>
        <v>0</v>
      </c>
      <c r="L161" s="8">
        <f t="shared" si="39"/>
        <v>0</v>
      </c>
      <c r="M161" s="8">
        <f t="shared" si="40"/>
        <v>0</v>
      </c>
      <c r="N161" s="8">
        <f t="shared" si="41"/>
        <v>0</v>
      </c>
      <c r="P161" s="8">
        <f t="shared" si="42"/>
        <v>0</v>
      </c>
      <c r="Q161" s="8">
        <f t="shared" si="43"/>
        <v>0</v>
      </c>
      <c r="R161" s="8" t="str">
        <f>IF(ISBLANK(A161),"",ABS($AB$1-(A161+10)))</f>
        <v/>
      </c>
      <c r="S161" s="8" t="str">
        <f>IF(ISBLANK(A161),"",ABS($AB$2-(A161+$AA$5)))</f>
        <v/>
      </c>
      <c r="T161" s="8">
        <f t="shared" si="44"/>
        <v>0</v>
      </c>
      <c r="U161" s="9" t="str">
        <f t="shared" si="45"/>
        <v/>
      </c>
      <c r="V161" s="9">
        <f t="shared" si="46"/>
        <v>0</v>
      </c>
      <c r="W161" s="9">
        <f t="shared" si="35"/>
        <v>7852.3200225830078</v>
      </c>
    </row>
    <row r="162" spans="1:23" x14ac:dyDescent="0.2">
      <c r="A162" s="21"/>
      <c r="B162" s="19"/>
      <c r="C162" s="19"/>
      <c r="D162" s="19"/>
      <c r="E162" s="19"/>
      <c r="F162" s="19"/>
      <c r="G162" s="22"/>
      <c r="I162" s="9">
        <f t="shared" ref="I162:I178" si="47">IF(EXACT(F162,"M"),C162,0)</f>
        <v>0</v>
      </c>
      <c r="J162" s="9">
        <f t="shared" ref="J162:J178" si="48">IF(EXACT(G162,"CheckingStarOneTXs"),C162,0)</f>
        <v>0</v>
      </c>
      <c r="K162" s="9">
        <f t="shared" ref="K162:K178" si="49">IF(AND(C162&lt;0,EXACT(G162,"VisaChaseTXs")),C162,0)</f>
        <v>0</v>
      </c>
      <c r="L162" s="8">
        <f t="shared" ref="L162:L178" si="50">IF(AND(AND(F162="",C162&lt;0),E162=""),C162,0)</f>
        <v>0</v>
      </c>
      <c r="M162" s="8">
        <f t="shared" ref="M162:M178" si="51">IF(F162="T",C162,0)</f>
        <v>0</v>
      </c>
      <c r="N162" s="8">
        <f t="shared" ref="N162:N178" si="52">IF(D162="Transfer Savings",C162,0)</f>
        <v>0</v>
      </c>
      <c r="P162" s="8">
        <f t="shared" ref="P162:P178" si="53">IF(AND(IF(C162&lt;0,C162,FALSE),E162&lt;&gt;"y"),C162,0)</f>
        <v>0</v>
      </c>
      <c r="Q162" s="8">
        <f t="shared" si="43"/>
        <v>0</v>
      </c>
      <c r="R162" s="8" t="str">
        <f t="shared" ref="R162:R178" si="54">IF(ISBLANK(A162),"",ABS($AB$1-(A162+10)))</f>
        <v/>
      </c>
      <c r="S162" s="8" t="str">
        <f>IF(ISBLANK(A162),"",ABS($AB$2-(A162+$AA$5)))</f>
        <v/>
      </c>
      <c r="T162" s="8">
        <f t="shared" si="44"/>
        <v>0</v>
      </c>
      <c r="U162" s="9" t="str">
        <f t="shared" si="45"/>
        <v/>
      </c>
      <c r="V162" s="9">
        <f t="shared" si="46"/>
        <v>0</v>
      </c>
      <c r="W162" s="9">
        <f t="shared" si="35"/>
        <v>7852.3200225830078</v>
      </c>
    </row>
    <row r="163" spans="1:23" x14ac:dyDescent="0.2">
      <c r="A163" s="23"/>
      <c r="B163" s="20"/>
      <c r="C163" s="20"/>
      <c r="D163" s="20"/>
      <c r="E163" s="20"/>
      <c r="F163" s="20"/>
      <c r="G163" s="24"/>
      <c r="I163" s="9">
        <f t="shared" si="47"/>
        <v>0</v>
      </c>
      <c r="J163" s="9">
        <f t="shared" si="48"/>
        <v>0</v>
      </c>
      <c r="K163" s="9">
        <f t="shared" si="49"/>
        <v>0</v>
      </c>
      <c r="L163" s="8">
        <f t="shared" si="50"/>
        <v>0</v>
      </c>
      <c r="M163" s="8">
        <f t="shared" si="51"/>
        <v>0</v>
      </c>
      <c r="N163" s="8">
        <f t="shared" si="52"/>
        <v>0</v>
      </c>
      <c r="P163" s="8">
        <f t="shared" si="53"/>
        <v>0</v>
      </c>
      <c r="Q163" s="8">
        <f t="shared" si="43"/>
        <v>0</v>
      </c>
      <c r="R163" s="8" t="str">
        <f t="shared" si="54"/>
        <v/>
      </c>
      <c r="S163" s="8" t="str">
        <f>IF(ISBLANK(A163),"",ABS($AB$2-(A163+$AA$5)))</f>
        <v/>
      </c>
      <c r="T163" s="8">
        <f t="shared" si="44"/>
        <v>0</v>
      </c>
      <c r="U163" s="9" t="str">
        <f t="shared" si="45"/>
        <v/>
      </c>
      <c r="V163" s="9">
        <f t="shared" si="46"/>
        <v>0</v>
      </c>
      <c r="W163" s="9">
        <f t="shared" si="35"/>
        <v>7852.3200225830078</v>
      </c>
    </row>
    <row r="164" spans="1:23" x14ac:dyDescent="0.2">
      <c r="A164" s="21"/>
      <c r="B164" s="19"/>
      <c r="C164" s="19"/>
      <c r="D164" s="19"/>
      <c r="E164" s="19"/>
      <c r="F164" s="19"/>
      <c r="G164" s="22"/>
      <c r="I164" s="9">
        <f t="shared" si="47"/>
        <v>0</v>
      </c>
      <c r="J164" s="9">
        <f t="shared" si="48"/>
        <v>0</v>
      </c>
      <c r="K164" s="9">
        <f t="shared" si="49"/>
        <v>0</v>
      </c>
      <c r="L164" s="8">
        <f t="shared" si="50"/>
        <v>0</v>
      </c>
      <c r="M164" s="8">
        <f t="shared" si="51"/>
        <v>0</v>
      </c>
      <c r="N164" s="8">
        <f t="shared" si="52"/>
        <v>0</v>
      </c>
      <c r="P164" s="8">
        <f t="shared" si="53"/>
        <v>0</v>
      </c>
      <c r="Q164" s="8">
        <f t="shared" si="43"/>
        <v>0</v>
      </c>
      <c r="R164" s="8" t="str">
        <f t="shared" si="54"/>
        <v/>
      </c>
      <c r="S164" s="8" t="str">
        <f>IF(ISBLANK(A164),"",ABS($AB$2-(A164+$AA$5)))</f>
        <v/>
      </c>
      <c r="T164" s="8">
        <f t="shared" si="44"/>
        <v>0</v>
      </c>
      <c r="U164" s="9" t="str">
        <f t="shared" si="45"/>
        <v/>
      </c>
      <c r="V164" s="9">
        <f t="shared" si="46"/>
        <v>0</v>
      </c>
      <c r="W164" s="9">
        <f t="shared" si="35"/>
        <v>7852.3200225830078</v>
      </c>
    </row>
    <row r="165" spans="1:23" x14ac:dyDescent="0.2">
      <c r="A165" s="23"/>
      <c r="B165" s="20"/>
      <c r="C165" s="20"/>
      <c r="D165" s="20"/>
      <c r="E165" s="20"/>
      <c r="F165" s="20"/>
      <c r="G165" s="24"/>
      <c r="I165" s="9">
        <f t="shared" si="47"/>
        <v>0</v>
      </c>
      <c r="J165" s="9">
        <f t="shared" si="48"/>
        <v>0</v>
      </c>
      <c r="K165" s="9">
        <f t="shared" si="49"/>
        <v>0</v>
      </c>
      <c r="L165" s="8">
        <f t="shared" si="50"/>
        <v>0</v>
      </c>
      <c r="M165" s="8">
        <f t="shared" si="51"/>
        <v>0</v>
      </c>
      <c r="N165" s="8">
        <f t="shared" si="52"/>
        <v>0</v>
      </c>
      <c r="P165" s="8">
        <f t="shared" si="53"/>
        <v>0</v>
      </c>
      <c r="Q165" s="8">
        <f t="shared" ref="Q165:Q178" si="55">P165</f>
        <v>0</v>
      </c>
      <c r="R165" s="8" t="str">
        <f t="shared" si="54"/>
        <v/>
      </c>
      <c r="S165" s="8" t="str">
        <f>IF(ISBLANK(A165),"",ABS($AB$2-(A165+$AA$5)))</f>
        <v/>
      </c>
      <c r="T165" s="8">
        <f t="shared" si="44"/>
        <v>0</v>
      </c>
      <c r="U165" s="9" t="str">
        <f t="shared" si="45"/>
        <v/>
      </c>
      <c r="V165" s="9">
        <f t="shared" si="46"/>
        <v>0</v>
      </c>
      <c r="W165" s="9">
        <f t="shared" si="35"/>
        <v>7852.3200225830078</v>
      </c>
    </row>
    <row r="166" spans="1:23" x14ac:dyDescent="0.2">
      <c r="A166" s="21"/>
      <c r="B166" s="19"/>
      <c r="C166" s="19"/>
      <c r="D166" s="19"/>
      <c r="E166" s="19"/>
      <c r="F166" s="19"/>
      <c r="G166" s="22"/>
      <c r="I166" s="9">
        <f t="shared" si="47"/>
        <v>0</v>
      </c>
      <c r="J166" s="9">
        <f t="shared" si="48"/>
        <v>0</v>
      </c>
      <c r="K166" s="9">
        <f t="shared" si="49"/>
        <v>0</v>
      </c>
      <c r="L166" s="8">
        <f t="shared" si="50"/>
        <v>0</v>
      </c>
      <c r="M166" s="8">
        <f t="shared" si="51"/>
        <v>0</v>
      </c>
      <c r="N166" s="8">
        <f t="shared" si="52"/>
        <v>0</v>
      </c>
      <c r="P166" s="8">
        <f t="shared" si="53"/>
        <v>0</v>
      </c>
      <c r="Q166" s="8">
        <f t="shared" si="55"/>
        <v>0</v>
      </c>
      <c r="R166" s="8" t="str">
        <f t="shared" si="54"/>
        <v/>
      </c>
      <c r="S166" s="8" t="str">
        <f>IF(ISBLANK(A166),"",ABS($AB$2-(A166+$AA$5)))</f>
        <v/>
      </c>
      <c r="T166" s="8">
        <f t="shared" si="44"/>
        <v>0</v>
      </c>
      <c r="U166" s="9" t="str">
        <f t="shared" si="45"/>
        <v/>
      </c>
      <c r="V166" s="9">
        <f t="shared" si="46"/>
        <v>0</v>
      </c>
      <c r="W166" s="9">
        <f t="shared" si="35"/>
        <v>7852.3200225830078</v>
      </c>
    </row>
    <row r="167" spans="1:23" x14ac:dyDescent="0.2">
      <c r="A167" s="23"/>
      <c r="B167" s="20"/>
      <c r="C167" s="20"/>
      <c r="D167" s="20"/>
      <c r="E167" s="20"/>
      <c r="F167" s="20"/>
      <c r="G167" s="24"/>
      <c r="I167" s="9">
        <f t="shared" si="47"/>
        <v>0</v>
      </c>
      <c r="J167" s="9">
        <f t="shared" si="48"/>
        <v>0</v>
      </c>
      <c r="K167" s="9">
        <f t="shared" si="49"/>
        <v>0</v>
      </c>
      <c r="L167" s="8">
        <f t="shared" si="50"/>
        <v>0</v>
      </c>
      <c r="M167" s="8">
        <f t="shared" si="51"/>
        <v>0</v>
      </c>
      <c r="N167" s="8">
        <f t="shared" si="52"/>
        <v>0</v>
      </c>
      <c r="P167" s="8">
        <f t="shared" si="53"/>
        <v>0</v>
      </c>
      <c r="Q167" s="8">
        <f t="shared" si="55"/>
        <v>0</v>
      </c>
      <c r="R167" s="8" t="str">
        <f t="shared" si="54"/>
        <v/>
      </c>
      <c r="S167" s="8" t="str">
        <f>IF(ISBLANK(A167),"",ABS($AB$2-(A167+$AA$5)))</f>
        <v/>
      </c>
      <c r="T167" s="8">
        <f t="shared" si="44"/>
        <v>0</v>
      </c>
      <c r="U167" s="9" t="str">
        <f t="shared" si="45"/>
        <v/>
      </c>
      <c r="V167" s="9">
        <f t="shared" si="46"/>
        <v>0</v>
      </c>
      <c r="W167" s="9">
        <f t="shared" si="35"/>
        <v>7852.3200225830078</v>
      </c>
    </row>
    <row r="168" spans="1:23" x14ac:dyDescent="0.2">
      <c r="A168" s="21"/>
      <c r="B168" s="19"/>
      <c r="C168" s="19"/>
      <c r="D168" s="19"/>
      <c r="E168" s="19"/>
      <c r="F168" s="19"/>
      <c r="G168" s="22"/>
      <c r="I168" s="9">
        <f t="shared" si="47"/>
        <v>0</v>
      </c>
      <c r="J168" s="9">
        <f t="shared" si="48"/>
        <v>0</v>
      </c>
      <c r="K168" s="9">
        <f t="shared" si="49"/>
        <v>0</v>
      </c>
      <c r="L168" s="8">
        <f t="shared" si="50"/>
        <v>0</v>
      </c>
      <c r="M168" s="8">
        <f t="shared" si="51"/>
        <v>0</v>
      </c>
      <c r="N168" s="8">
        <f t="shared" si="52"/>
        <v>0</v>
      </c>
      <c r="P168" s="8">
        <f t="shared" si="53"/>
        <v>0</v>
      </c>
      <c r="Q168" s="8">
        <f t="shared" si="55"/>
        <v>0</v>
      </c>
      <c r="R168" s="8" t="str">
        <f t="shared" si="54"/>
        <v/>
      </c>
      <c r="S168" s="8" t="str">
        <f>IF(ISBLANK(A168),"",ABS($AB$2-(A168+$AA$5)))</f>
        <v/>
      </c>
      <c r="T168" s="8">
        <f t="shared" si="44"/>
        <v>0</v>
      </c>
      <c r="U168" s="9" t="str">
        <f t="shared" si="45"/>
        <v/>
      </c>
      <c r="V168" s="9">
        <f t="shared" si="46"/>
        <v>0</v>
      </c>
      <c r="W168" s="9">
        <f t="shared" si="35"/>
        <v>7852.3200225830078</v>
      </c>
    </row>
    <row r="169" spans="1:23" x14ac:dyDescent="0.2">
      <c r="A169" s="23"/>
      <c r="B169" s="20"/>
      <c r="C169" s="20"/>
      <c r="D169" s="20"/>
      <c r="E169" s="20"/>
      <c r="F169" s="20"/>
      <c r="G169" s="24"/>
      <c r="I169" s="9">
        <f t="shared" si="47"/>
        <v>0</v>
      </c>
      <c r="J169" s="9">
        <f t="shared" si="48"/>
        <v>0</v>
      </c>
      <c r="K169" s="9">
        <f t="shared" si="49"/>
        <v>0</v>
      </c>
      <c r="L169" s="8">
        <f t="shared" si="50"/>
        <v>0</v>
      </c>
      <c r="M169" s="8">
        <f t="shared" si="51"/>
        <v>0</v>
      </c>
      <c r="N169" s="8">
        <f t="shared" si="52"/>
        <v>0</v>
      </c>
      <c r="P169" s="8">
        <f t="shared" si="53"/>
        <v>0</v>
      </c>
      <c r="Q169" s="8">
        <f t="shared" si="55"/>
        <v>0</v>
      </c>
      <c r="R169" s="8" t="str">
        <f t="shared" si="54"/>
        <v/>
      </c>
      <c r="S169" s="8" t="str">
        <f>IF(ISBLANK(A169),"",ABS($AB$2-(A169+$AA$5)))</f>
        <v/>
      </c>
      <c r="T169" s="8">
        <f t="shared" si="44"/>
        <v>0</v>
      </c>
      <c r="U169" s="9" t="str">
        <f t="shared" si="45"/>
        <v/>
      </c>
      <c r="V169" s="9">
        <f t="shared" si="46"/>
        <v>0</v>
      </c>
      <c r="W169" s="9">
        <f t="shared" si="35"/>
        <v>7852.3200225830078</v>
      </c>
    </row>
    <row r="170" spans="1:23" x14ac:dyDescent="0.2">
      <c r="A170" s="21"/>
      <c r="B170" s="19"/>
      <c r="C170" s="19"/>
      <c r="D170" s="19"/>
      <c r="E170" s="19"/>
      <c r="F170" s="19"/>
      <c r="G170" s="22"/>
      <c r="I170" s="9">
        <f t="shared" si="47"/>
        <v>0</v>
      </c>
      <c r="J170" s="9">
        <f t="shared" si="48"/>
        <v>0</v>
      </c>
      <c r="K170" s="9">
        <f t="shared" si="49"/>
        <v>0</v>
      </c>
      <c r="L170" s="8">
        <f t="shared" si="50"/>
        <v>0</v>
      </c>
      <c r="M170" s="8">
        <f t="shared" si="51"/>
        <v>0</v>
      </c>
      <c r="N170" s="8">
        <f t="shared" si="52"/>
        <v>0</v>
      </c>
      <c r="P170" s="8">
        <f t="shared" si="53"/>
        <v>0</v>
      </c>
      <c r="Q170" s="8">
        <f t="shared" si="55"/>
        <v>0</v>
      </c>
      <c r="R170" s="8" t="str">
        <f t="shared" si="54"/>
        <v/>
      </c>
      <c r="S170" s="8" t="str">
        <f>IF(ISBLANK(A170),"",ABS($AB$2-(A170+$AA$5)))</f>
        <v/>
      </c>
      <c r="T170" s="8">
        <f t="shared" si="44"/>
        <v>0</v>
      </c>
      <c r="U170" s="9" t="str">
        <f t="shared" si="45"/>
        <v/>
      </c>
      <c r="V170" s="9">
        <f t="shared" si="46"/>
        <v>0</v>
      </c>
      <c r="W170" s="9">
        <f t="shared" si="35"/>
        <v>7852.3200225830078</v>
      </c>
    </row>
    <row r="171" spans="1:23" x14ac:dyDescent="0.2">
      <c r="A171" s="23"/>
      <c r="B171" s="20"/>
      <c r="C171" s="20"/>
      <c r="D171" s="20"/>
      <c r="E171" s="20"/>
      <c r="F171" s="20"/>
      <c r="G171" s="24"/>
      <c r="I171" s="9">
        <f t="shared" si="47"/>
        <v>0</v>
      </c>
      <c r="J171" s="9">
        <f t="shared" si="48"/>
        <v>0</v>
      </c>
      <c r="K171" s="9">
        <f t="shared" si="49"/>
        <v>0</v>
      </c>
      <c r="L171" s="8">
        <f t="shared" si="50"/>
        <v>0</v>
      </c>
      <c r="M171" s="8">
        <f t="shared" si="51"/>
        <v>0</v>
      </c>
      <c r="N171" s="8">
        <f t="shared" si="52"/>
        <v>0</v>
      </c>
      <c r="P171" s="8">
        <f t="shared" si="53"/>
        <v>0</v>
      </c>
      <c r="Q171" s="8">
        <f t="shared" si="55"/>
        <v>0</v>
      </c>
      <c r="R171" s="8" t="str">
        <f t="shared" si="54"/>
        <v/>
      </c>
      <c r="S171" s="8" t="str">
        <f>IF(ISBLANK(A171),"",ABS($AB$2-(A171+$AA$5)))</f>
        <v/>
      </c>
      <c r="T171" s="8">
        <f t="shared" ref="T171:T178" si="56">T170+Q171</f>
        <v>0</v>
      </c>
      <c r="U171" s="9" t="str">
        <f t="shared" si="45"/>
        <v/>
      </c>
      <c r="V171" s="9">
        <f t="shared" si="46"/>
        <v>0</v>
      </c>
      <c r="W171" s="9">
        <f t="shared" si="35"/>
        <v>7852.3200225830078</v>
      </c>
    </row>
    <row r="172" spans="1:23" x14ac:dyDescent="0.2">
      <c r="A172" s="21"/>
      <c r="B172" s="19"/>
      <c r="C172" s="19"/>
      <c r="D172" s="19"/>
      <c r="E172" s="19"/>
      <c r="F172" s="19"/>
      <c r="G172" s="22"/>
      <c r="I172" s="9">
        <f t="shared" si="47"/>
        <v>0</v>
      </c>
      <c r="J172" s="9">
        <f t="shared" si="48"/>
        <v>0</v>
      </c>
      <c r="K172" s="9">
        <f t="shared" si="49"/>
        <v>0</v>
      </c>
      <c r="L172" s="8">
        <f t="shared" si="50"/>
        <v>0</v>
      </c>
      <c r="M172" s="8">
        <f t="shared" si="51"/>
        <v>0</v>
      </c>
      <c r="N172" s="8">
        <f t="shared" si="52"/>
        <v>0</v>
      </c>
      <c r="P172" s="8">
        <f t="shared" si="53"/>
        <v>0</v>
      </c>
      <c r="Q172" s="8">
        <f t="shared" si="55"/>
        <v>0</v>
      </c>
      <c r="R172" s="8" t="str">
        <f t="shared" si="54"/>
        <v/>
      </c>
      <c r="S172" s="8" t="str">
        <f>IF(ISBLANK(A172),"",ABS($AB$2-(A172+$AA$5)))</f>
        <v/>
      </c>
      <c r="T172" s="8">
        <f t="shared" si="56"/>
        <v>0</v>
      </c>
      <c r="U172" s="9" t="str">
        <f t="shared" si="45"/>
        <v/>
      </c>
      <c r="V172" s="9">
        <f t="shared" si="46"/>
        <v>0</v>
      </c>
      <c r="W172" s="9">
        <f t="shared" si="35"/>
        <v>7852.3200225830078</v>
      </c>
    </row>
    <row r="173" spans="1:23" x14ac:dyDescent="0.2">
      <c r="A173" s="23"/>
      <c r="B173" s="20"/>
      <c r="C173" s="20"/>
      <c r="D173" s="20"/>
      <c r="E173" s="20"/>
      <c r="F173" s="20"/>
      <c r="G173" s="24"/>
      <c r="I173" s="9">
        <f t="shared" si="47"/>
        <v>0</v>
      </c>
      <c r="J173" s="9">
        <f t="shared" si="48"/>
        <v>0</v>
      </c>
      <c r="K173" s="9">
        <f t="shared" si="49"/>
        <v>0</v>
      </c>
      <c r="L173" s="8">
        <f t="shared" si="50"/>
        <v>0</v>
      </c>
      <c r="M173" s="8">
        <f t="shared" si="51"/>
        <v>0</v>
      </c>
      <c r="N173" s="8">
        <f t="shared" si="52"/>
        <v>0</v>
      </c>
      <c r="P173" s="8">
        <f t="shared" si="53"/>
        <v>0</v>
      </c>
      <c r="Q173" s="8">
        <f t="shared" si="55"/>
        <v>0</v>
      </c>
      <c r="R173" s="8" t="str">
        <f t="shared" si="54"/>
        <v/>
      </c>
      <c r="S173" s="8" t="str">
        <f>IF(ISBLANK(A173),"",ABS($AB$2-(A173+$AA$5)))</f>
        <v/>
      </c>
      <c r="T173" s="8">
        <f t="shared" si="56"/>
        <v>0</v>
      </c>
      <c r="U173" s="9" t="str">
        <f t="shared" si="45"/>
        <v/>
      </c>
      <c r="V173" s="9">
        <f t="shared" si="46"/>
        <v>0</v>
      </c>
      <c r="W173" s="9">
        <f t="shared" si="35"/>
        <v>7852.3200225830078</v>
      </c>
    </row>
    <row r="174" spans="1:23" x14ac:dyDescent="0.2">
      <c r="A174" s="21"/>
      <c r="B174" s="19"/>
      <c r="C174" s="19"/>
      <c r="D174" s="19"/>
      <c r="E174" s="19"/>
      <c r="F174" s="19"/>
      <c r="G174" s="22"/>
      <c r="I174" s="9">
        <f t="shared" si="47"/>
        <v>0</v>
      </c>
      <c r="J174" s="9">
        <f t="shared" si="48"/>
        <v>0</v>
      </c>
      <c r="K174" s="9">
        <f t="shared" si="49"/>
        <v>0</v>
      </c>
      <c r="L174" s="8">
        <f t="shared" si="50"/>
        <v>0</v>
      </c>
      <c r="M174" s="8">
        <f t="shared" si="51"/>
        <v>0</v>
      </c>
      <c r="N174" s="8">
        <f t="shared" si="52"/>
        <v>0</v>
      </c>
      <c r="P174" s="8">
        <f t="shared" si="53"/>
        <v>0</v>
      </c>
      <c r="Q174" s="8">
        <f t="shared" si="55"/>
        <v>0</v>
      </c>
      <c r="R174" s="8" t="str">
        <f t="shared" si="54"/>
        <v/>
      </c>
      <c r="S174" s="8" t="str">
        <f>IF(ISBLANK(A174),"",ABS($AB$2-(A174+$AA$5)))</f>
        <v/>
      </c>
      <c r="T174" s="8">
        <f t="shared" si="56"/>
        <v>0</v>
      </c>
      <c r="U174" s="9" t="str">
        <f t="shared" si="45"/>
        <v/>
      </c>
      <c r="V174" s="9">
        <f t="shared" si="46"/>
        <v>0</v>
      </c>
      <c r="W174" s="9">
        <f t="shared" si="35"/>
        <v>7852.3200225830078</v>
      </c>
    </row>
    <row r="175" spans="1:23" x14ac:dyDescent="0.2">
      <c r="A175" s="6"/>
      <c r="I175" s="9">
        <f t="shared" si="47"/>
        <v>0</v>
      </c>
      <c r="J175" s="9">
        <f t="shared" si="48"/>
        <v>0</v>
      </c>
      <c r="K175" s="9">
        <f t="shared" si="49"/>
        <v>0</v>
      </c>
      <c r="L175" s="8">
        <f t="shared" si="50"/>
        <v>0</v>
      </c>
      <c r="M175" s="8">
        <f t="shared" si="51"/>
        <v>0</v>
      </c>
      <c r="N175" s="8">
        <f t="shared" si="52"/>
        <v>0</v>
      </c>
      <c r="P175" s="8">
        <f t="shared" si="53"/>
        <v>0</v>
      </c>
      <c r="Q175" s="8">
        <f t="shared" si="55"/>
        <v>0</v>
      </c>
      <c r="R175" s="8" t="str">
        <f t="shared" si="54"/>
        <v/>
      </c>
      <c r="S175" s="8" t="str">
        <f>IF(ISBLANK(A175),"",ABS($AB$2-(A175+$AA$5)))</f>
        <v/>
      </c>
      <c r="T175" s="8">
        <f t="shared" si="56"/>
        <v>0</v>
      </c>
      <c r="U175" s="9" t="str">
        <f t="shared" si="45"/>
        <v/>
      </c>
      <c r="V175" s="9">
        <f t="shared" si="46"/>
        <v>0</v>
      </c>
      <c r="W175" s="9">
        <f t="shared" si="35"/>
        <v>7852.3200225830078</v>
      </c>
    </row>
    <row r="176" spans="1:23" x14ac:dyDescent="0.2">
      <c r="A176" s="6"/>
      <c r="I176" s="9">
        <f t="shared" si="47"/>
        <v>0</v>
      </c>
      <c r="J176" s="9">
        <f t="shared" si="48"/>
        <v>0</v>
      </c>
      <c r="K176" s="9">
        <f t="shared" si="49"/>
        <v>0</v>
      </c>
      <c r="L176" s="8">
        <f t="shared" si="50"/>
        <v>0</v>
      </c>
      <c r="M176" s="8">
        <f t="shared" si="51"/>
        <v>0</v>
      </c>
      <c r="N176" s="8">
        <f t="shared" si="52"/>
        <v>0</v>
      </c>
      <c r="P176" s="8">
        <f t="shared" si="53"/>
        <v>0</v>
      </c>
      <c r="Q176" s="8">
        <f t="shared" si="55"/>
        <v>0</v>
      </c>
      <c r="R176" s="8" t="str">
        <f t="shared" si="54"/>
        <v/>
      </c>
      <c r="S176" s="8" t="str">
        <f>IF(ISBLANK(A176),"",ABS($AB$2-(A176+$AA$5)))</f>
        <v/>
      </c>
      <c r="T176" s="8">
        <f t="shared" si="56"/>
        <v>0</v>
      </c>
      <c r="U176" s="9" t="str">
        <f t="shared" si="45"/>
        <v/>
      </c>
      <c r="V176" s="9">
        <f t="shared" si="46"/>
        <v>0</v>
      </c>
      <c r="W176" s="9">
        <f t="shared" si="35"/>
        <v>7852.3200225830078</v>
      </c>
    </row>
    <row r="177" spans="1:23" x14ac:dyDescent="0.2">
      <c r="A177" s="6"/>
      <c r="I177" s="9">
        <f t="shared" si="47"/>
        <v>0</v>
      </c>
      <c r="J177" s="9">
        <f t="shared" si="48"/>
        <v>0</v>
      </c>
      <c r="K177" s="9">
        <f t="shared" si="49"/>
        <v>0</v>
      </c>
      <c r="L177" s="8">
        <f t="shared" si="50"/>
        <v>0</v>
      </c>
      <c r="M177" s="8">
        <f t="shared" si="51"/>
        <v>0</v>
      </c>
      <c r="N177" s="8">
        <f t="shared" si="52"/>
        <v>0</v>
      </c>
      <c r="P177" s="8">
        <f t="shared" si="53"/>
        <v>0</v>
      </c>
      <c r="Q177" s="8">
        <f t="shared" si="55"/>
        <v>0</v>
      </c>
      <c r="R177" s="8" t="str">
        <f t="shared" si="54"/>
        <v/>
      </c>
      <c r="S177" s="8" t="str">
        <f>IF(ISBLANK(A177),"",ABS($AB$2-(A177+$AA$5)))</f>
        <v/>
      </c>
      <c r="T177" s="8">
        <f t="shared" si="56"/>
        <v>0</v>
      </c>
      <c r="U177" s="9" t="str">
        <f t="shared" si="45"/>
        <v/>
      </c>
      <c r="V177" s="9">
        <f t="shared" si="46"/>
        <v>0</v>
      </c>
      <c r="W177" s="9">
        <f t="shared" si="35"/>
        <v>7852.3200225830078</v>
      </c>
    </row>
    <row r="178" spans="1:23" x14ac:dyDescent="0.2">
      <c r="A178" s="6"/>
      <c r="I178" s="9">
        <f t="shared" si="47"/>
        <v>0</v>
      </c>
      <c r="J178" s="9">
        <f t="shared" si="48"/>
        <v>0</v>
      </c>
      <c r="K178" s="9">
        <f t="shared" si="49"/>
        <v>0</v>
      </c>
      <c r="L178" s="8">
        <f t="shared" si="50"/>
        <v>0</v>
      </c>
      <c r="M178" s="8">
        <f t="shared" si="51"/>
        <v>0</v>
      </c>
      <c r="N178" s="8">
        <f t="shared" si="52"/>
        <v>0</v>
      </c>
      <c r="P178" s="8">
        <f t="shared" si="53"/>
        <v>0</v>
      </c>
      <c r="Q178" s="8">
        <f t="shared" si="55"/>
        <v>0</v>
      </c>
      <c r="R178" s="8" t="str">
        <f t="shared" si="54"/>
        <v/>
      </c>
      <c r="S178" s="8" t="str">
        <f>IF(ISBLANK(A178),"",ABS($AB$2-(A178+$AA$5)))</f>
        <v/>
      </c>
      <c r="T178" s="8">
        <f t="shared" si="56"/>
        <v>0</v>
      </c>
      <c r="U178" s="9" t="str">
        <f t="shared" si="45"/>
        <v/>
      </c>
      <c r="V178" s="9">
        <f t="shared" si="46"/>
        <v>0</v>
      </c>
      <c r="W178" s="9">
        <f t="shared" si="35"/>
        <v>7852.3200225830078</v>
      </c>
    </row>
    <row r="179" spans="1:23" x14ac:dyDescent="0.2">
      <c r="A179" s="6"/>
      <c r="I179" s="9">
        <f t="shared" ref="I179:I193" si="57">IF(EXACT(F179,"M"),C179,0)</f>
        <v>0</v>
      </c>
      <c r="J179" s="9">
        <f t="shared" ref="J179:J193" si="58">IF(EXACT(G179,"CheckingStarOneTXs"),C179,0)</f>
        <v>0</v>
      </c>
      <c r="K179" s="9">
        <f t="shared" ref="K179:K193" si="59">IF(AND(C179&lt;0,EXACT(G179,"VisaChaseTXs")),C179,0)</f>
        <v>0</v>
      </c>
      <c r="L179" s="8">
        <f t="shared" ref="L179:L193" si="60">IF(AND(AND(F179="",C179&lt;0),E179=""),C179,0)</f>
        <v>0</v>
      </c>
      <c r="M179" s="8">
        <f t="shared" ref="M179:M193" si="61">IF(F179="T",C179,0)</f>
        <v>0</v>
      </c>
      <c r="N179" s="8">
        <f t="shared" ref="N179:N193" si="62">IF(D179="Transfer Savings",C179,0)</f>
        <v>0</v>
      </c>
      <c r="P179" s="8">
        <f t="shared" ref="P179:P193" si="63">IF(AND(IF(C179&lt;0,C179,FALSE),E179&lt;&gt;"y"),C179,0)</f>
        <v>0</v>
      </c>
      <c r="Q179" s="8">
        <f t="shared" ref="Q179:Q193" si="64">P179</f>
        <v>0</v>
      </c>
      <c r="R179" s="8" t="str">
        <f t="shared" ref="R179:R193" si="65">IF(ISBLANK(A179),"",ABS($AB$1-(A179+10)))</f>
        <v/>
      </c>
      <c r="S179" s="8" t="str">
        <f t="shared" ref="S179:S193" si="66">IF(ISBLANK(A179),"",ABS($AB$2-(A179+$AA$5)))</f>
        <v/>
      </c>
      <c r="T179" s="8">
        <f t="shared" ref="T179:T193" si="67">T178+Q179</f>
        <v>0</v>
      </c>
      <c r="U179" s="9" t="str">
        <f t="shared" ref="U179:U193" si="68">IF(S179="","",ABS(T179))</f>
        <v/>
      </c>
      <c r="V179" s="9">
        <f t="shared" si="46"/>
        <v>0</v>
      </c>
      <c r="W179" s="9">
        <f t="shared" si="35"/>
        <v>7852.3200225830078</v>
      </c>
    </row>
    <row r="180" spans="1:23" x14ac:dyDescent="0.2">
      <c r="A180" s="6"/>
      <c r="I180" s="9">
        <f t="shared" si="57"/>
        <v>0</v>
      </c>
      <c r="J180" s="9">
        <f t="shared" si="58"/>
        <v>0</v>
      </c>
      <c r="K180" s="9">
        <f t="shared" si="59"/>
        <v>0</v>
      </c>
      <c r="L180" s="8">
        <f t="shared" si="60"/>
        <v>0</v>
      </c>
      <c r="M180" s="8">
        <f t="shared" si="61"/>
        <v>0</v>
      </c>
      <c r="N180" s="8">
        <f t="shared" si="62"/>
        <v>0</v>
      </c>
      <c r="P180" s="8">
        <f t="shared" si="63"/>
        <v>0</v>
      </c>
      <c r="Q180" s="8">
        <f t="shared" si="64"/>
        <v>0</v>
      </c>
      <c r="R180" s="8" t="str">
        <f t="shared" si="65"/>
        <v/>
      </c>
      <c r="S180" s="8" t="str">
        <f t="shared" si="66"/>
        <v/>
      </c>
      <c r="T180" s="8">
        <f t="shared" si="67"/>
        <v>0</v>
      </c>
      <c r="U180" s="9" t="str">
        <f t="shared" si="68"/>
        <v/>
      </c>
      <c r="V180" s="9">
        <f t="shared" si="46"/>
        <v>0</v>
      </c>
      <c r="W180" s="9">
        <f t="shared" si="35"/>
        <v>7852.3200225830078</v>
      </c>
    </row>
    <row r="181" spans="1:23" x14ac:dyDescent="0.2">
      <c r="A181" s="6"/>
      <c r="I181" s="9">
        <f t="shared" si="57"/>
        <v>0</v>
      </c>
      <c r="J181" s="9">
        <f t="shared" si="58"/>
        <v>0</v>
      </c>
      <c r="K181" s="9">
        <f t="shared" si="59"/>
        <v>0</v>
      </c>
      <c r="L181" s="8">
        <f t="shared" si="60"/>
        <v>0</v>
      </c>
      <c r="M181" s="8">
        <f t="shared" si="61"/>
        <v>0</v>
      </c>
      <c r="N181" s="8">
        <f t="shared" si="62"/>
        <v>0</v>
      </c>
      <c r="P181" s="8">
        <f t="shared" si="63"/>
        <v>0</v>
      </c>
      <c r="Q181" s="8">
        <f t="shared" si="64"/>
        <v>0</v>
      </c>
      <c r="R181" s="8" t="str">
        <f t="shared" si="65"/>
        <v/>
      </c>
      <c r="S181" s="8" t="str">
        <f t="shared" si="66"/>
        <v/>
      </c>
      <c r="T181" s="8">
        <f t="shared" si="67"/>
        <v>0</v>
      </c>
      <c r="U181" s="9" t="str">
        <f t="shared" si="68"/>
        <v/>
      </c>
      <c r="V181" s="9">
        <f t="shared" si="46"/>
        <v>0</v>
      </c>
      <c r="W181" s="9">
        <f t="shared" si="35"/>
        <v>7852.3200225830078</v>
      </c>
    </row>
    <row r="182" spans="1:23" x14ac:dyDescent="0.2">
      <c r="A182" s="6"/>
      <c r="B182" s="7"/>
      <c r="C182" s="7"/>
      <c r="D182" s="7"/>
      <c r="E182" s="7"/>
      <c r="F182" s="7"/>
      <c r="G182" s="7"/>
      <c r="I182" s="9">
        <f t="shared" si="57"/>
        <v>0</v>
      </c>
      <c r="J182" s="9">
        <f t="shared" si="58"/>
        <v>0</v>
      </c>
      <c r="K182" s="9">
        <f t="shared" si="59"/>
        <v>0</v>
      </c>
      <c r="L182" s="8">
        <f t="shared" si="60"/>
        <v>0</v>
      </c>
      <c r="M182" s="8">
        <f t="shared" si="61"/>
        <v>0</v>
      </c>
      <c r="N182" s="8">
        <f t="shared" si="62"/>
        <v>0</v>
      </c>
      <c r="P182" s="8">
        <f t="shared" si="63"/>
        <v>0</v>
      </c>
      <c r="Q182" s="8">
        <f t="shared" si="64"/>
        <v>0</v>
      </c>
      <c r="R182" s="8" t="str">
        <f t="shared" si="65"/>
        <v/>
      </c>
      <c r="S182" s="8" t="str">
        <f t="shared" si="66"/>
        <v/>
      </c>
      <c r="T182" s="8">
        <f t="shared" si="67"/>
        <v>0</v>
      </c>
      <c r="U182" s="9" t="str">
        <f t="shared" si="68"/>
        <v/>
      </c>
      <c r="V182" s="9">
        <f t="shared" si="46"/>
        <v>0</v>
      </c>
      <c r="W182" s="9">
        <f t="shared" si="35"/>
        <v>7852.3200225830078</v>
      </c>
    </row>
    <row r="183" spans="1:23" x14ac:dyDescent="0.2">
      <c r="A183" s="6"/>
      <c r="B183" s="7"/>
      <c r="C183" s="7"/>
      <c r="D183" s="7"/>
      <c r="E183" s="7"/>
      <c r="F183" s="7"/>
      <c r="G183" s="7"/>
      <c r="I183" s="9">
        <f t="shared" si="57"/>
        <v>0</v>
      </c>
      <c r="J183" s="9">
        <f t="shared" si="58"/>
        <v>0</v>
      </c>
      <c r="K183" s="9">
        <f t="shared" si="59"/>
        <v>0</v>
      </c>
      <c r="L183" s="8">
        <f t="shared" si="60"/>
        <v>0</v>
      </c>
      <c r="M183" s="8">
        <f t="shared" si="61"/>
        <v>0</v>
      </c>
      <c r="N183" s="8">
        <f t="shared" si="62"/>
        <v>0</v>
      </c>
      <c r="P183" s="8">
        <f t="shared" si="63"/>
        <v>0</v>
      </c>
      <c r="Q183" s="8">
        <f t="shared" si="64"/>
        <v>0</v>
      </c>
      <c r="R183" s="8" t="str">
        <f t="shared" si="65"/>
        <v/>
      </c>
      <c r="S183" s="8" t="str">
        <f t="shared" si="66"/>
        <v/>
      </c>
      <c r="T183" s="8">
        <f t="shared" si="67"/>
        <v>0</v>
      </c>
      <c r="U183" s="9" t="str">
        <f t="shared" si="68"/>
        <v/>
      </c>
      <c r="V183" s="9">
        <f t="shared" si="46"/>
        <v>0</v>
      </c>
      <c r="W183" s="9">
        <f t="shared" si="35"/>
        <v>7852.3200225830078</v>
      </c>
    </row>
    <row r="184" spans="1:23" x14ac:dyDescent="0.2">
      <c r="A184" s="6"/>
      <c r="B184" s="7"/>
      <c r="C184" s="7"/>
      <c r="D184" s="7"/>
      <c r="E184" s="7"/>
      <c r="F184" s="7"/>
      <c r="G184" s="7"/>
      <c r="I184" s="9">
        <f t="shared" si="57"/>
        <v>0</v>
      </c>
      <c r="J184" s="9">
        <f t="shared" si="58"/>
        <v>0</v>
      </c>
      <c r="K184" s="9">
        <f t="shared" si="59"/>
        <v>0</v>
      </c>
      <c r="L184" s="8">
        <f t="shared" si="60"/>
        <v>0</v>
      </c>
      <c r="M184" s="8">
        <f t="shared" si="61"/>
        <v>0</v>
      </c>
      <c r="N184" s="8">
        <f t="shared" si="62"/>
        <v>0</v>
      </c>
      <c r="P184" s="8">
        <f t="shared" si="63"/>
        <v>0</v>
      </c>
      <c r="Q184" s="8">
        <f t="shared" si="64"/>
        <v>0</v>
      </c>
      <c r="R184" s="8" t="str">
        <f t="shared" si="65"/>
        <v/>
      </c>
      <c r="S184" s="8" t="str">
        <f t="shared" si="66"/>
        <v/>
      </c>
      <c r="T184" s="8">
        <f t="shared" si="67"/>
        <v>0</v>
      </c>
      <c r="U184" s="9" t="str">
        <f t="shared" si="68"/>
        <v/>
      </c>
      <c r="V184" s="9">
        <f t="shared" si="46"/>
        <v>0</v>
      </c>
      <c r="W184" s="9">
        <f t="shared" si="35"/>
        <v>7852.3200225830078</v>
      </c>
    </row>
    <row r="185" spans="1:23" x14ac:dyDescent="0.2">
      <c r="A185" s="6"/>
      <c r="B185" s="7"/>
      <c r="C185" s="7"/>
      <c r="D185" s="7"/>
      <c r="E185" s="7"/>
      <c r="F185" s="7"/>
      <c r="G185" s="7"/>
      <c r="I185" s="9">
        <f t="shared" si="57"/>
        <v>0</v>
      </c>
      <c r="J185" s="9">
        <f t="shared" si="58"/>
        <v>0</v>
      </c>
      <c r="K185" s="9">
        <f t="shared" si="59"/>
        <v>0</v>
      </c>
      <c r="L185" s="8">
        <f t="shared" si="60"/>
        <v>0</v>
      </c>
      <c r="M185" s="8">
        <f t="shared" si="61"/>
        <v>0</v>
      </c>
      <c r="N185" s="8">
        <f t="shared" si="62"/>
        <v>0</v>
      </c>
      <c r="P185" s="8">
        <f t="shared" si="63"/>
        <v>0</v>
      </c>
      <c r="Q185" s="8">
        <f t="shared" si="64"/>
        <v>0</v>
      </c>
      <c r="R185" s="8" t="str">
        <f t="shared" si="65"/>
        <v/>
      </c>
      <c r="S185" s="8" t="str">
        <f t="shared" si="66"/>
        <v/>
      </c>
      <c r="T185" s="8">
        <f t="shared" si="67"/>
        <v>0</v>
      </c>
      <c r="U185" s="9" t="str">
        <f t="shared" si="68"/>
        <v/>
      </c>
      <c r="V185" s="9">
        <f t="shared" si="46"/>
        <v>0</v>
      </c>
      <c r="W185" s="9">
        <f t="shared" si="35"/>
        <v>7852.3200225830078</v>
      </c>
    </row>
    <row r="186" spans="1:23" x14ac:dyDescent="0.2">
      <c r="A186" s="6"/>
      <c r="B186" s="7"/>
      <c r="C186" s="7"/>
      <c r="D186" s="7"/>
      <c r="E186" s="7"/>
      <c r="F186" s="7"/>
      <c r="G186" s="7"/>
      <c r="I186" s="9">
        <f t="shared" si="57"/>
        <v>0</v>
      </c>
      <c r="J186" s="9">
        <f t="shared" si="58"/>
        <v>0</v>
      </c>
      <c r="K186" s="9">
        <f t="shared" si="59"/>
        <v>0</v>
      </c>
      <c r="L186" s="8">
        <f t="shared" si="60"/>
        <v>0</v>
      </c>
      <c r="M186" s="8">
        <f t="shared" si="61"/>
        <v>0</v>
      </c>
      <c r="N186" s="8">
        <f t="shared" si="62"/>
        <v>0</v>
      </c>
      <c r="P186" s="8">
        <f t="shared" si="63"/>
        <v>0</v>
      </c>
      <c r="Q186" s="8">
        <f t="shared" si="64"/>
        <v>0</v>
      </c>
      <c r="R186" s="8" t="str">
        <f t="shared" si="65"/>
        <v/>
      </c>
      <c r="S186" s="8" t="str">
        <f t="shared" si="66"/>
        <v/>
      </c>
      <c r="T186" s="8">
        <f t="shared" si="67"/>
        <v>0</v>
      </c>
      <c r="U186" s="9" t="str">
        <f t="shared" si="68"/>
        <v/>
      </c>
      <c r="V186" s="9">
        <f t="shared" si="46"/>
        <v>0</v>
      </c>
      <c r="W186" s="9">
        <f t="shared" si="35"/>
        <v>7852.3200225830078</v>
      </c>
    </row>
    <row r="187" spans="1:23" x14ac:dyDescent="0.2">
      <c r="A187" s="6"/>
      <c r="B187" s="7"/>
      <c r="C187" s="7"/>
      <c r="D187" s="7"/>
      <c r="E187" s="7"/>
      <c r="F187" s="7"/>
      <c r="G187" s="7"/>
      <c r="I187" s="9">
        <f t="shared" si="57"/>
        <v>0</v>
      </c>
      <c r="J187" s="9">
        <f t="shared" si="58"/>
        <v>0</v>
      </c>
      <c r="K187" s="9">
        <f t="shared" si="59"/>
        <v>0</v>
      </c>
      <c r="L187" s="8">
        <f t="shared" si="60"/>
        <v>0</v>
      </c>
      <c r="M187" s="8">
        <f t="shared" si="61"/>
        <v>0</v>
      </c>
      <c r="N187" s="8">
        <f t="shared" si="62"/>
        <v>0</v>
      </c>
      <c r="P187" s="8">
        <f t="shared" si="63"/>
        <v>0</v>
      </c>
      <c r="Q187" s="8">
        <f t="shared" si="64"/>
        <v>0</v>
      </c>
      <c r="R187" s="8" t="str">
        <f t="shared" si="65"/>
        <v/>
      </c>
      <c r="S187" s="8" t="str">
        <f t="shared" si="66"/>
        <v/>
      </c>
      <c r="T187" s="8">
        <f t="shared" si="67"/>
        <v>0</v>
      </c>
      <c r="U187" s="9" t="str">
        <f t="shared" si="68"/>
        <v/>
      </c>
      <c r="V187" s="9">
        <f t="shared" si="46"/>
        <v>0</v>
      </c>
      <c r="W187" s="9">
        <f t="shared" si="35"/>
        <v>7852.3200225830078</v>
      </c>
    </row>
    <row r="188" spans="1:23" x14ac:dyDescent="0.2">
      <c r="A188" s="6"/>
      <c r="B188" s="7"/>
      <c r="C188" s="7"/>
      <c r="D188" s="7"/>
      <c r="E188" s="7"/>
      <c r="F188" s="7"/>
      <c r="G188" s="7"/>
      <c r="I188" s="9">
        <f t="shared" si="57"/>
        <v>0</v>
      </c>
      <c r="J188" s="9">
        <f t="shared" si="58"/>
        <v>0</v>
      </c>
      <c r="K188" s="9">
        <f t="shared" si="59"/>
        <v>0</v>
      </c>
      <c r="L188" s="8">
        <f t="shared" si="60"/>
        <v>0</v>
      </c>
      <c r="M188" s="8">
        <f t="shared" si="61"/>
        <v>0</v>
      </c>
      <c r="N188" s="8">
        <f t="shared" si="62"/>
        <v>0</v>
      </c>
      <c r="P188" s="8">
        <f t="shared" si="63"/>
        <v>0</v>
      </c>
      <c r="Q188" s="8">
        <f t="shared" si="64"/>
        <v>0</v>
      </c>
      <c r="R188" s="8" t="str">
        <f t="shared" si="65"/>
        <v/>
      </c>
      <c r="S188" s="8" t="str">
        <f t="shared" si="66"/>
        <v/>
      </c>
      <c r="T188" s="8">
        <f t="shared" si="67"/>
        <v>0</v>
      </c>
      <c r="U188" s="9" t="str">
        <f t="shared" si="68"/>
        <v/>
      </c>
      <c r="V188" s="9">
        <f t="shared" si="46"/>
        <v>0</v>
      </c>
      <c r="W188" s="9">
        <f t="shared" si="35"/>
        <v>7852.3200225830078</v>
      </c>
    </row>
    <row r="189" spans="1:23" x14ac:dyDescent="0.2">
      <c r="A189" s="6"/>
      <c r="B189" s="7"/>
      <c r="C189" s="7"/>
      <c r="D189" s="7"/>
      <c r="E189" s="7"/>
      <c r="F189" s="7"/>
      <c r="G189" s="7"/>
      <c r="I189" s="9">
        <f t="shared" si="57"/>
        <v>0</v>
      </c>
      <c r="J189" s="9">
        <f t="shared" si="58"/>
        <v>0</v>
      </c>
      <c r="K189" s="9">
        <f t="shared" si="59"/>
        <v>0</v>
      </c>
      <c r="L189" s="8">
        <f t="shared" si="60"/>
        <v>0</v>
      </c>
      <c r="M189" s="8">
        <f t="shared" si="61"/>
        <v>0</v>
      </c>
      <c r="N189" s="8">
        <f t="shared" si="62"/>
        <v>0</v>
      </c>
      <c r="P189" s="8">
        <f t="shared" si="63"/>
        <v>0</v>
      </c>
      <c r="Q189" s="8">
        <f t="shared" si="64"/>
        <v>0</v>
      </c>
      <c r="R189" s="8" t="str">
        <f t="shared" si="65"/>
        <v/>
      </c>
      <c r="S189" s="8" t="str">
        <f t="shared" si="66"/>
        <v/>
      </c>
      <c r="T189" s="8">
        <f t="shared" si="67"/>
        <v>0</v>
      </c>
      <c r="U189" s="9" t="str">
        <f t="shared" si="68"/>
        <v/>
      </c>
      <c r="V189" s="9">
        <f t="shared" si="46"/>
        <v>0</v>
      </c>
      <c r="W189" s="9">
        <f t="shared" si="35"/>
        <v>7852.3200225830078</v>
      </c>
    </row>
    <row r="190" spans="1:23" x14ac:dyDescent="0.2">
      <c r="A190" s="6"/>
      <c r="B190" s="7"/>
      <c r="C190" s="7"/>
      <c r="D190" s="7"/>
      <c r="E190" s="7"/>
      <c r="F190" s="7"/>
      <c r="G190" s="7"/>
      <c r="I190" s="9">
        <f t="shared" si="57"/>
        <v>0</v>
      </c>
      <c r="J190" s="9">
        <f t="shared" si="58"/>
        <v>0</v>
      </c>
      <c r="K190" s="9">
        <f t="shared" si="59"/>
        <v>0</v>
      </c>
      <c r="L190" s="8">
        <f t="shared" si="60"/>
        <v>0</v>
      </c>
      <c r="M190" s="8">
        <f t="shared" si="61"/>
        <v>0</v>
      </c>
      <c r="N190" s="8">
        <f t="shared" si="62"/>
        <v>0</v>
      </c>
      <c r="P190" s="8">
        <f t="shared" si="63"/>
        <v>0</v>
      </c>
      <c r="Q190" s="8">
        <f t="shared" si="64"/>
        <v>0</v>
      </c>
      <c r="R190" s="8" t="str">
        <f t="shared" si="65"/>
        <v/>
      </c>
      <c r="S190" s="8" t="str">
        <f t="shared" si="66"/>
        <v/>
      </c>
      <c r="T190" s="8">
        <f t="shared" si="67"/>
        <v>0</v>
      </c>
      <c r="U190" s="9" t="str">
        <f t="shared" si="68"/>
        <v/>
      </c>
      <c r="V190" s="9">
        <f t="shared" si="46"/>
        <v>0</v>
      </c>
      <c r="W190" s="9">
        <f t="shared" si="35"/>
        <v>7852.3200225830078</v>
      </c>
    </row>
    <row r="191" spans="1:23" x14ac:dyDescent="0.2">
      <c r="A191" s="6"/>
      <c r="B191" s="7"/>
      <c r="C191" s="7"/>
      <c r="D191" s="7"/>
      <c r="E191" s="7"/>
      <c r="F191" s="7"/>
      <c r="G191" s="7"/>
      <c r="I191" s="9">
        <f t="shared" si="57"/>
        <v>0</v>
      </c>
      <c r="J191" s="9">
        <f t="shared" si="58"/>
        <v>0</v>
      </c>
      <c r="K191" s="9">
        <f t="shared" si="59"/>
        <v>0</v>
      </c>
      <c r="L191" s="8">
        <f t="shared" si="60"/>
        <v>0</v>
      </c>
      <c r="M191" s="8">
        <f t="shared" si="61"/>
        <v>0</v>
      </c>
      <c r="N191" s="8">
        <f t="shared" si="62"/>
        <v>0</v>
      </c>
      <c r="P191" s="8">
        <f t="shared" si="63"/>
        <v>0</v>
      </c>
      <c r="Q191" s="8">
        <f t="shared" si="64"/>
        <v>0</v>
      </c>
      <c r="R191" s="8" t="str">
        <f t="shared" si="65"/>
        <v/>
      </c>
      <c r="S191" s="8" t="str">
        <f t="shared" si="66"/>
        <v/>
      </c>
      <c r="T191" s="8">
        <f t="shared" si="67"/>
        <v>0</v>
      </c>
      <c r="U191" s="9" t="str">
        <f t="shared" si="68"/>
        <v/>
      </c>
      <c r="V191" s="9">
        <f t="shared" si="46"/>
        <v>0</v>
      </c>
      <c r="W191" s="9">
        <f t="shared" si="35"/>
        <v>7852.3200225830078</v>
      </c>
    </row>
    <row r="192" spans="1:23" x14ac:dyDescent="0.2">
      <c r="A192" s="6"/>
      <c r="B192" s="7"/>
      <c r="C192" s="7"/>
      <c r="D192" s="7"/>
      <c r="E192" s="7"/>
      <c r="F192" s="7"/>
      <c r="G192" s="7"/>
      <c r="I192" s="9">
        <f t="shared" si="57"/>
        <v>0</v>
      </c>
      <c r="J192" s="9">
        <f t="shared" si="58"/>
        <v>0</v>
      </c>
      <c r="K192" s="9">
        <f t="shared" si="59"/>
        <v>0</v>
      </c>
      <c r="L192" s="8">
        <f t="shared" si="60"/>
        <v>0</v>
      </c>
      <c r="M192" s="8">
        <f t="shared" si="61"/>
        <v>0</v>
      </c>
      <c r="N192" s="8">
        <f t="shared" si="62"/>
        <v>0</v>
      </c>
      <c r="P192" s="8">
        <f t="shared" si="63"/>
        <v>0</v>
      </c>
      <c r="Q192" s="8">
        <f t="shared" si="64"/>
        <v>0</v>
      </c>
      <c r="R192" s="8" t="str">
        <f t="shared" si="65"/>
        <v/>
      </c>
      <c r="S192" s="8" t="str">
        <f t="shared" si="66"/>
        <v/>
      </c>
      <c r="T192" s="8">
        <f t="shared" si="67"/>
        <v>0</v>
      </c>
      <c r="U192" s="9" t="str">
        <f t="shared" si="68"/>
        <v/>
      </c>
      <c r="V192" s="9">
        <f t="shared" si="46"/>
        <v>0</v>
      </c>
      <c r="W192" s="9">
        <f t="shared" si="35"/>
        <v>7852.3200225830078</v>
      </c>
    </row>
    <row r="193" spans="1:23" x14ac:dyDescent="0.2">
      <c r="A193" s="6"/>
      <c r="B193" s="7"/>
      <c r="C193" s="7"/>
      <c r="D193" s="7"/>
      <c r="E193" s="7"/>
      <c r="F193" s="7"/>
      <c r="G193" s="7"/>
      <c r="I193" s="9">
        <f t="shared" si="57"/>
        <v>0</v>
      </c>
      <c r="J193" s="9">
        <f t="shared" si="58"/>
        <v>0</v>
      </c>
      <c r="K193" s="9">
        <f t="shared" si="59"/>
        <v>0</v>
      </c>
      <c r="L193" s="8">
        <f t="shared" si="60"/>
        <v>0</v>
      </c>
      <c r="M193" s="8">
        <f t="shared" si="61"/>
        <v>0</v>
      </c>
      <c r="N193" s="8">
        <f t="shared" si="62"/>
        <v>0</v>
      </c>
      <c r="P193" s="8">
        <f t="shared" si="63"/>
        <v>0</v>
      </c>
      <c r="Q193" s="8">
        <f t="shared" si="64"/>
        <v>0</v>
      </c>
      <c r="R193" s="8" t="str">
        <f t="shared" si="65"/>
        <v/>
      </c>
      <c r="S193" s="8" t="str">
        <f t="shared" si="66"/>
        <v/>
      </c>
      <c r="T193" s="8">
        <f t="shared" si="67"/>
        <v>0</v>
      </c>
      <c r="U193" s="9" t="str">
        <f t="shared" si="68"/>
        <v/>
      </c>
      <c r="V193" s="9">
        <f t="shared" si="46"/>
        <v>0</v>
      </c>
      <c r="W193" s="9">
        <f t="shared" si="35"/>
        <v>7852.3200225830078</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s="41" t="s">
        <v>178</v>
      </c>
      <c r="B2" s="41" t="s">
        <v>261</v>
      </c>
    </row>
    <row r="3" spans="1:2" x14ac:dyDescent="0.2">
      <c r="A3" s="41" t="s">
        <v>217</v>
      </c>
      <c r="B3" s="41" t="s">
        <v>288</v>
      </c>
    </row>
    <row r="4" spans="1:2" x14ac:dyDescent="0.2">
      <c r="A4" s="41" t="s">
        <v>215</v>
      </c>
      <c r="B4" s="41" t="s">
        <v>289</v>
      </c>
    </row>
    <row r="5" spans="1:2" x14ac:dyDescent="0.2">
      <c r="A5" s="41" t="s">
        <v>223</v>
      </c>
      <c r="B5" s="41" t="s">
        <v>290</v>
      </c>
    </row>
    <row r="6" spans="1:2" x14ac:dyDescent="0.2">
      <c r="A6" s="41" t="s">
        <v>237</v>
      </c>
      <c r="B6" s="41" t="s">
        <v>236</v>
      </c>
    </row>
    <row r="7" spans="1:2" x14ac:dyDescent="0.2">
      <c r="A7" s="41" t="s">
        <v>208</v>
      </c>
      <c r="B7" s="41" t="s">
        <v>236</v>
      </c>
    </row>
    <row r="8" spans="1:2" x14ac:dyDescent="0.2">
      <c r="A8" s="41" t="s">
        <v>207</v>
      </c>
      <c r="B8" s="41" t="s">
        <v>236</v>
      </c>
    </row>
    <row r="9" spans="1:2" x14ac:dyDescent="0.2">
      <c r="A9" s="41" t="s">
        <v>238</v>
      </c>
      <c r="B9" s="41" t="s">
        <v>236</v>
      </c>
    </row>
    <row r="10" spans="1:2" x14ac:dyDescent="0.2">
      <c r="A10" s="41" t="s">
        <v>226</v>
      </c>
      <c r="B10" s="41" t="s">
        <v>291</v>
      </c>
    </row>
    <row r="11" spans="1:2" x14ac:dyDescent="0.2">
      <c r="A11" s="41" t="s">
        <v>235</v>
      </c>
      <c r="B11" s="41" t="s">
        <v>292</v>
      </c>
    </row>
    <row r="12" spans="1:2" x14ac:dyDescent="0.2">
      <c r="A12" s="41" t="s">
        <v>205</v>
      </c>
      <c r="B12" s="41" t="s">
        <v>293</v>
      </c>
    </row>
    <row r="13" spans="1:2" x14ac:dyDescent="0.2">
      <c r="A13" s="41" t="s">
        <v>206</v>
      </c>
      <c r="B13" s="41" t="s">
        <v>294</v>
      </c>
    </row>
    <row r="14" spans="1:2" x14ac:dyDescent="0.2">
      <c r="A14" s="41" t="s">
        <v>229</v>
      </c>
      <c r="B14" s="41" t="s">
        <v>295</v>
      </c>
    </row>
    <row r="15" spans="1:2" x14ac:dyDescent="0.2">
      <c r="A15" s="41" t="s">
        <v>232</v>
      </c>
      <c r="B15" s="41" t="s">
        <v>296</v>
      </c>
    </row>
    <row r="16" spans="1:2" x14ac:dyDescent="0.2">
      <c r="A16" s="41" t="s">
        <v>216</v>
      </c>
      <c r="B16" s="41" t="s">
        <v>297</v>
      </c>
    </row>
    <row r="17" spans="1:2" x14ac:dyDescent="0.2">
      <c r="A17" s="41" t="s">
        <v>211</v>
      </c>
      <c r="B17" s="41" t="s">
        <v>298</v>
      </c>
    </row>
    <row r="18" spans="1:2" x14ac:dyDescent="0.2">
      <c r="A18" s="41" t="s">
        <v>218</v>
      </c>
      <c r="B18" s="41" t="s">
        <v>286</v>
      </c>
    </row>
    <row r="19" spans="1:2" x14ac:dyDescent="0.2">
      <c r="A19" s="41" t="s">
        <v>221</v>
      </c>
      <c r="B19" s="41" t="s">
        <v>299</v>
      </c>
    </row>
    <row r="20" spans="1:2" x14ac:dyDescent="0.2">
      <c r="A20" s="41" t="s">
        <v>210</v>
      </c>
      <c r="B20" s="41" t="s">
        <v>300</v>
      </c>
    </row>
    <row r="21" spans="1:2" x14ac:dyDescent="0.2">
      <c r="A21" s="41" t="s">
        <v>219</v>
      </c>
      <c r="B21" s="41" t="s">
        <v>301</v>
      </c>
    </row>
    <row r="22" spans="1:2" x14ac:dyDescent="0.2">
      <c r="A22" s="41" t="s">
        <v>239</v>
      </c>
      <c r="B22" s="41" t="s">
        <v>236</v>
      </c>
    </row>
    <row r="23" spans="1:2" x14ac:dyDescent="0.2">
      <c r="A23" s="41" t="s">
        <v>214</v>
      </c>
      <c r="B23" s="41" t="s">
        <v>236</v>
      </c>
    </row>
    <row r="24" spans="1:2" x14ac:dyDescent="0.2">
      <c r="A24" s="41" t="s">
        <v>233</v>
      </c>
      <c r="B24" s="41" t="s">
        <v>302</v>
      </c>
    </row>
    <row r="25" spans="1:2" x14ac:dyDescent="0.2">
      <c r="A25" s="41" t="s">
        <v>230</v>
      </c>
      <c r="B25" s="41" t="s">
        <v>303</v>
      </c>
    </row>
    <row r="26" spans="1:2" x14ac:dyDescent="0.2">
      <c r="A26" s="41" t="s">
        <v>222</v>
      </c>
      <c r="B26" s="41" t="s">
        <v>304</v>
      </c>
    </row>
    <row r="27" spans="1:2" x14ac:dyDescent="0.2">
      <c r="A27" s="41" t="s">
        <v>126</v>
      </c>
      <c r="B27" s="41" t="s">
        <v>291</v>
      </c>
    </row>
    <row r="28" spans="1:2" x14ac:dyDescent="0.2">
      <c r="A28" s="41" t="s">
        <v>225</v>
      </c>
      <c r="B28" s="41" t="s">
        <v>291</v>
      </c>
    </row>
    <row r="29" spans="1:2" x14ac:dyDescent="0.2">
      <c r="A29" s="41" t="s">
        <v>395</v>
      </c>
      <c r="B29" s="41" t="s">
        <v>406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tabSelected="1" zoomScale="166" workbookViewId="0">
      <selection activeCell="H19" sqref="H19"/>
    </sheetView>
  </sheetViews>
  <sheetFormatPr baseColWidth="10" defaultRowHeight="16" x14ac:dyDescent="0.2"/>
  <cols>
    <col min="1" max="1" width="47.33203125" bestFit="1" customWidth="1"/>
    <col min="2" max="2" width="26.6640625" bestFit="1" customWidth="1"/>
    <col min="3" max="3" width="21.6640625" style="4" bestFit="1" customWidth="1"/>
    <col min="4" max="4" width="12.83203125" style="1" bestFit="1" customWidth="1"/>
    <col min="5" max="5" width="45" style="28" bestFit="1" customWidth="1"/>
    <col min="6" max="6" width="52.83203125" bestFit="1" customWidth="1"/>
    <col min="7" max="7" width="57.83203125" bestFit="1" customWidth="1"/>
  </cols>
  <sheetData>
    <row r="1" spans="1:10" x14ac:dyDescent="0.2">
      <c r="A1" t="s">
        <v>255</v>
      </c>
      <c r="B1" t="s">
        <v>256</v>
      </c>
      <c r="C1" s="4" t="s">
        <v>257</v>
      </c>
      <c r="D1" s="1" t="s">
        <v>258</v>
      </c>
      <c r="E1" s="28" t="s">
        <v>335</v>
      </c>
      <c r="F1" t="s">
        <v>10</v>
      </c>
    </row>
    <row r="2" spans="1:10" x14ac:dyDescent="0.2">
      <c r="A2" s="41" t="s">
        <v>223</v>
      </c>
      <c r="B2">
        <v>25</v>
      </c>
      <c r="C2" s="4" t="s">
        <v>402</v>
      </c>
      <c r="D2" s="1">
        <v>-449.6400146484375</v>
      </c>
      <c r="E2" s="28">
        <f>monthlyStatus[[#This Row],[ Difference]]/SUM(B2:B19)</f>
        <v>-0.11589855001764036</v>
      </c>
    </row>
    <row r="3" spans="1:10" x14ac:dyDescent="0.2">
      <c r="A3" s="41" t="s">
        <v>217</v>
      </c>
      <c r="B3">
        <v>883.91</v>
      </c>
      <c r="C3" s="4" t="s">
        <v>262</v>
      </c>
      <c r="D3" s="1">
        <v>442.02999511718747</v>
      </c>
      <c r="E3" s="28">
        <f>monthlyStatus[[#This Row],[ Difference]]/SUM(B3:B20)</f>
        <v>0.11402811688822069</v>
      </c>
    </row>
    <row r="4" spans="1:10" x14ac:dyDescent="0.2">
      <c r="A4" s="41" t="s">
        <v>218</v>
      </c>
      <c r="B4">
        <v>13.84</v>
      </c>
      <c r="C4" s="4" t="s">
        <v>403</v>
      </c>
      <c r="D4" s="1">
        <v>-345.38000122070315</v>
      </c>
      <c r="E4" s="28">
        <f>monthlyStatus[[#This Row],[ Difference]]/SUM(B4:B21)</f>
        <v>-0.10907069833311854</v>
      </c>
    </row>
    <row r="5" spans="1:10" x14ac:dyDescent="0.2">
      <c r="A5" s="41" t="s">
        <v>216</v>
      </c>
      <c r="B5">
        <v>302.95</v>
      </c>
      <c r="C5" s="4" t="s">
        <v>404</v>
      </c>
      <c r="D5" s="1">
        <v>2.9499999999999886</v>
      </c>
      <c r="E5" s="28">
        <f>monthlyStatus[[#This Row],[ Difference]]/SUM(B5:B22)</f>
        <v>9.3569699910870524E-4</v>
      </c>
    </row>
    <row r="6" spans="1:10" x14ac:dyDescent="0.2">
      <c r="A6" s="41" t="s">
        <v>205</v>
      </c>
      <c r="B6">
        <v>518.29999999999995</v>
      </c>
      <c r="C6" s="4" t="s">
        <v>430</v>
      </c>
      <c r="D6" s="1">
        <v>219.8599975585937</v>
      </c>
      <c r="E6" s="28">
        <f>monthlyStatus[[#This Row],[ Difference]]/SUM(B6:B23)</f>
        <v>7.2982329538688245E-2</v>
      </c>
      <c r="H6" t="s">
        <v>331</v>
      </c>
      <c r="J6" t="s">
        <v>342</v>
      </c>
    </row>
    <row r="7" spans="1:10" x14ac:dyDescent="0.2">
      <c r="A7" s="41" t="s">
        <v>206</v>
      </c>
      <c r="B7">
        <v>1071.28</v>
      </c>
      <c r="C7" s="4" t="s">
        <v>396</v>
      </c>
      <c r="D7" s="1">
        <v>920.33999755859372</v>
      </c>
      <c r="E7" s="28">
        <f>monthlyStatus[[#This Row],[ Difference]]/SUM(B7:B24)</f>
        <v>0.36605534046821614</v>
      </c>
      <c r="H7">
        <v>14</v>
      </c>
      <c r="J7">
        <f>H7/H9*J9</f>
        <v>2048.0019736842105</v>
      </c>
    </row>
    <row r="8" spans="1:10" x14ac:dyDescent="0.2">
      <c r="A8" s="41" t="s">
        <v>211</v>
      </c>
      <c r="B8">
        <v>87.9</v>
      </c>
      <c r="C8" s="4" t="s">
        <v>397</v>
      </c>
      <c r="D8" s="1">
        <v>6.4100021362304744</v>
      </c>
      <c r="E8" s="28">
        <f>monthlyStatus[[#This Row],[ Difference]]/SUM(B8:B25)</f>
        <v>4.4423514212265838E-3</v>
      </c>
      <c r="H8" t="s">
        <v>330</v>
      </c>
      <c r="J8" t="s">
        <v>332</v>
      </c>
    </row>
    <row r="9" spans="1:10" x14ac:dyDescent="0.2">
      <c r="A9" s="41" t="s">
        <v>233</v>
      </c>
      <c r="B9">
        <v>69.349999999999994</v>
      </c>
      <c r="C9" s="4" t="s">
        <v>398</v>
      </c>
      <c r="D9" s="1">
        <v>-5.4400009155273494</v>
      </c>
      <c r="E9" s="28">
        <f>monthlyStatus[[#This Row],[ Difference]]/SUM(B9:B26)</f>
        <v>-4.0146719375418619E-3</v>
      </c>
      <c r="H9">
        <v>30.4</v>
      </c>
      <c r="J9">
        <f>SUM(B2:B29)</f>
        <v>4447.0899999999992</v>
      </c>
    </row>
    <row r="10" spans="1:10" x14ac:dyDescent="0.2">
      <c r="A10" s="41" t="s">
        <v>219</v>
      </c>
      <c r="B10">
        <v>76.650000000000006</v>
      </c>
      <c r="C10" s="4" t="s">
        <v>357</v>
      </c>
      <c r="D10" s="1">
        <v>17.559999847412115</v>
      </c>
      <c r="E10" s="28">
        <f>monthlyStatus[[#This Row],[ Difference]]/SUM(B10:B27)</f>
        <v>1.3658141876215012E-2</v>
      </c>
    </row>
    <row r="11" spans="1:10" x14ac:dyDescent="0.2">
      <c r="A11" s="41" t="s">
        <v>235</v>
      </c>
      <c r="B11">
        <v>661.26</v>
      </c>
      <c r="C11" s="4" t="s">
        <v>267</v>
      </c>
      <c r="D11" s="1">
        <v>621.26</v>
      </c>
      <c r="E11" s="28">
        <f>monthlyStatus[[#This Row],[ Difference]]/SUM(B11:B28)</f>
        <v>0.44567993342707107</v>
      </c>
      <c r="J11" t="s">
        <v>343</v>
      </c>
    </row>
    <row r="12" spans="1:10" x14ac:dyDescent="0.2">
      <c r="A12" s="41" t="s">
        <v>225</v>
      </c>
      <c r="B12">
        <v>40</v>
      </c>
      <c r="C12" s="4" t="s">
        <v>267</v>
      </c>
      <c r="D12" s="1">
        <v>0</v>
      </c>
      <c r="E12" s="28">
        <f>monthlyStatus[[#This Row],[ Difference]]/SUM(B12:B29)</f>
        <v>0</v>
      </c>
      <c r="F12" t="s">
        <v>282</v>
      </c>
      <c r="J12" s="4">
        <v>2392.61</v>
      </c>
    </row>
    <row r="13" spans="1:10" x14ac:dyDescent="0.2">
      <c r="A13" s="41" t="s">
        <v>226</v>
      </c>
      <c r="B13">
        <v>40</v>
      </c>
      <c r="C13" s="4" t="s">
        <v>405</v>
      </c>
      <c r="D13" s="1">
        <v>2.8300018310546875</v>
      </c>
      <c r="E13" s="28">
        <f>monthlyStatus[[#This Row],[ Difference]]/SUM(B13:B30)</f>
        <v>4.0623007694748975E-3</v>
      </c>
      <c r="F13" t="s">
        <v>283</v>
      </c>
    </row>
    <row r="14" spans="1:10" x14ac:dyDescent="0.2">
      <c r="A14" s="41" t="s">
        <v>395</v>
      </c>
      <c r="B14">
        <v>30</v>
      </c>
      <c r="C14" s="4" t="s">
        <v>399</v>
      </c>
      <c r="D14" s="1">
        <v>3</v>
      </c>
      <c r="E14" s="28">
        <f>monthlyStatus[[#This Row],[ Difference]]/SUM(B14:B31)</f>
        <v>4.5686438742100046E-3</v>
      </c>
      <c r="F14" t="s">
        <v>284</v>
      </c>
    </row>
    <row r="15" spans="1:10" x14ac:dyDescent="0.2">
      <c r="A15" s="41" t="s">
        <v>232</v>
      </c>
      <c r="B15">
        <v>19.16</v>
      </c>
      <c r="C15" s="4" t="s">
        <v>400</v>
      </c>
      <c r="D15" s="1">
        <v>13.56999984741211</v>
      </c>
      <c r="E15" s="28">
        <f>monthlyStatus[[#This Row],[ Difference]]/SUM(B15:B32)</f>
        <v>2.1654831002014055E-2</v>
      </c>
    </row>
    <row r="16" spans="1:10" x14ac:dyDescent="0.2">
      <c r="A16" s="41" t="s">
        <v>238</v>
      </c>
      <c r="B16">
        <v>0</v>
      </c>
      <c r="C16" s="4" t="s">
        <v>358</v>
      </c>
      <c r="D16" s="1">
        <v>-2.3599998950958252</v>
      </c>
      <c r="E16" s="28">
        <f>monthlyStatus[[#This Row],[ Difference]]/SUM(B16:B33)</f>
        <v>-3.8848374378110343E-3</v>
      </c>
      <c r="F16" t="s">
        <v>285</v>
      </c>
    </row>
    <row r="17" spans="1:11" x14ac:dyDescent="0.2">
      <c r="A17" s="41" t="s">
        <v>126</v>
      </c>
      <c r="B17">
        <v>40</v>
      </c>
      <c r="C17" s="4" t="s">
        <v>401</v>
      </c>
      <c r="D17" s="1">
        <v>36.5</v>
      </c>
      <c r="E17" s="28">
        <f>monthlyStatus[[#This Row],[ Difference]]/SUM(B17:B34)</f>
        <v>6.0083293552157239E-2</v>
      </c>
    </row>
    <row r="18" spans="1:11" x14ac:dyDescent="0.2">
      <c r="A18" s="41" t="s">
        <v>174</v>
      </c>
      <c r="C18" s="4" t="s">
        <v>174</v>
      </c>
      <c r="E18" s="28">
        <f>monthlyStatus[[#This Row],[ Difference]]/SUM(B18:B35)</f>
        <v>0</v>
      </c>
      <c r="H18" t="s">
        <v>433</v>
      </c>
      <c r="J18" t="s">
        <v>333</v>
      </c>
    </row>
    <row r="19" spans="1:11" x14ac:dyDescent="0.2">
      <c r="A19" s="41" t="s">
        <v>259</v>
      </c>
      <c r="C19" s="4" t="s">
        <v>174</v>
      </c>
      <c r="E19" s="28">
        <f>monthlyStatus[[#This Row],[ Difference]]/SUM(B19:B36)</f>
        <v>0</v>
      </c>
      <c r="H19">
        <f>J7-J12</f>
        <v>-344.60802631578963</v>
      </c>
      <c r="J19" s="28">
        <f>(J7-J12)/J7</f>
        <v>-0.1682654756898814</v>
      </c>
    </row>
    <row r="20" spans="1:11" x14ac:dyDescent="0.2">
      <c r="A20" s="41" t="s">
        <v>229</v>
      </c>
      <c r="B20">
        <v>21.9</v>
      </c>
      <c r="C20" s="4" t="s">
        <v>174</v>
      </c>
      <c r="E20" s="28">
        <f>monthlyStatus[[#This Row],[ Difference]]/SUM(B20:B37)</f>
        <v>0</v>
      </c>
      <c r="K20" t="s">
        <v>334</v>
      </c>
    </row>
    <row r="21" spans="1:11" x14ac:dyDescent="0.2">
      <c r="A21" s="41" t="s">
        <v>230</v>
      </c>
      <c r="B21">
        <v>173.98</v>
      </c>
      <c r="C21" s="4" t="s">
        <v>174</v>
      </c>
      <c r="E21" s="28">
        <f>monthlyStatus[[#This Row],[ Difference]]/SUM(B21:B38)</f>
        <v>0</v>
      </c>
    </row>
    <row r="22" spans="1:11" x14ac:dyDescent="0.2">
      <c r="A22" s="41" t="s">
        <v>207</v>
      </c>
      <c r="B22">
        <v>0</v>
      </c>
      <c r="C22" s="4" t="s">
        <v>174</v>
      </c>
      <c r="E22" s="28">
        <f>monthlyStatus[[#This Row],[ Difference]]/SUM(B22:B39)</f>
        <v>0</v>
      </c>
      <c r="H22" t="s">
        <v>344</v>
      </c>
    </row>
    <row r="23" spans="1:11" x14ac:dyDescent="0.2">
      <c r="A23" s="41" t="s">
        <v>215</v>
      </c>
      <c r="B23">
        <v>162.72999999999999</v>
      </c>
      <c r="C23" s="4" t="s">
        <v>174</v>
      </c>
      <c r="E23" s="28">
        <f>monthlyStatus[[#This Row],[ Difference]]/SUM(B23:B40)</f>
        <v>0</v>
      </c>
      <c r="G23" s="39" t="s">
        <v>345</v>
      </c>
      <c r="H23" s="39">
        <v>-34.459999084472699</v>
      </c>
      <c r="J23">
        <v>575.80999999999995</v>
      </c>
      <c r="K23" s="37" t="s">
        <v>339</v>
      </c>
    </row>
    <row r="24" spans="1:11" x14ac:dyDescent="0.2">
      <c r="A24" s="41" t="s">
        <v>222</v>
      </c>
      <c r="B24">
        <v>20</v>
      </c>
      <c r="C24" s="4" t="s">
        <v>174</v>
      </c>
      <c r="E24" s="28">
        <f>monthlyStatus[[#This Row],[ Difference]]/SUM(B24:B41)</f>
        <v>0</v>
      </c>
      <c r="G24" s="39" t="s">
        <v>346</v>
      </c>
      <c r="H24" s="39">
        <v>-2.9900000095367401</v>
      </c>
      <c r="J24">
        <v>441.88</v>
      </c>
      <c r="K24" s="38" t="s">
        <v>262</v>
      </c>
    </row>
    <row r="25" spans="1:11" x14ac:dyDescent="0.2">
      <c r="A25" s="41" t="s">
        <v>208</v>
      </c>
      <c r="B25">
        <v>0</v>
      </c>
      <c r="C25" s="4" t="s">
        <v>174</v>
      </c>
      <c r="E25" s="28">
        <f>monthlyStatus[[#This Row],[ Difference]]/SUM(B25:B42)</f>
        <v>0</v>
      </c>
      <c r="G25" s="39" t="s">
        <v>347</v>
      </c>
      <c r="H25" s="39">
        <v>-124</v>
      </c>
      <c r="J25">
        <v>237.88</v>
      </c>
      <c r="K25" s="38" t="s">
        <v>329</v>
      </c>
    </row>
    <row r="26" spans="1:11" x14ac:dyDescent="0.2">
      <c r="A26" s="41" t="s">
        <v>214</v>
      </c>
      <c r="B26">
        <v>0</v>
      </c>
      <c r="C26" s="4" t="s">
        <v>174</v>
      </c>
      <c r="E26" s="28">
        <f>monthlyStatus[[#This Row],[ Difference]]/SUM(B26:B43)</f>
        <v>0</v>
      </c>
      <c r="G26" s="39" t="s">
        <v>348</v>
      </c>
      <c r="H26" s="39">
        <v>-50</v>
      </c>
      <c r="J26">
        <v>185</v>
      </c>
      <c r="K26" s="37" t="s">
        <v>328</v>
      </c>
    </row>
    <row r="27" spans="1:11" x14ac:dyDescent="0.2">
      <c r="A27" s="41" t="s">
        <v>237</v>
      </c>
      <c r="B27">
        <v>0</v>
      </c>
      <c r="C27" s="4" t="s">
        <v>174</v>
      </c>
      <c r="E27" s="28">
        <f>monthlyStatus[[#This Row],[ Difference]]/SUM(B27:B44)</f>
        <v>0</v>
      </c>
      <c r="G27" s="39" t="s">
        <v>349</v>
      </c>
      <c r="H27" s="39">
        <v>-24.629999160766602</v>
      </c>
      <c r="J27">
        <v>162.83000000000001</v>
      </c>
      <c r="K27" s="37" t="s">
        <v>263</v>
      </c>
    </row>
    <row r="28" spans="1:11" x14ac:dyDescent="0.2">
      <c r="A28" s="41" t="s">
        <v>221</v>
      </c>
      <c r="B28">
        <v>184.93</v>
      </c>
      <c r="C28" s="4" t="s">
        <v>174</v>
      </c>
      <c r="E28" s="28">
        <f>monthlyStatus[[#This Row],[ Difference]]/SUM(B28:B45)</f>
        <v>0</v>
      </c>
      <c r="G28" s="39" t="s">
        <v>350</v>
      </c>
      <c r="H28" s="39">
        <v>-441.88000488281301</v>
      </c>
      <c r="J28">
        <v>147.11000000000001</v>
      </c>
      <c r="K28" s="38" t="s">
        <v>275</v>
      </c>
    </row>
    <row r="29" spans="1:11" x14ac:dyDescent="0.2">
      <c r="A29" s="41" t="s">
        <v>210</v>
      </c>
      <c r="B29">
        <v>3.95</v>
      </c>
      <c r="C29" s="4" t="s">
        <v>174</v>
      </c>
      <c r="E29" s="28">
        <f>monthlyStatus[[#This Row],[ Difference]]/SUM(B29:B46)</f>
        <v>0</v>
      </c>
      <c r="H29">
        <f>SUM(H23:H28)</f>
        <v>-677.96000313758907</v>
      </c>
      <c r="J29">
        <v>109.46</v>
      </c>
      <c r="K29" s="37" t="s">
        <v>340</v>
      </c>
    </row>
    <row r="30" spans="1:11" x14ac:dyDescent="0.2">
      <c r="A30" s="41" t="s">
        <v>174</v>
      </c>
      <c r="C30" s="4" t="s">
        <v>174</v>
      </c>
      <c r="E30" s="1"/>
      <c r="J30">
        <v>101.96</v>
      </c>
      <c r="K30" s="38" t="s">
        <v>341</v>
      </c>
    </row>
    <row r="31" spans="1:11" ht="80" x14ac:dyDescent="0.2">
      <c r="A31" s="41" t="s">
        <v>260</v>
      </c>
      <c r="C31" s="4" t="s">
        <v>174</v>
      </c>
      <c r="E31" s="1"/>
      <c r="G31" s="40" t="s">
        <v>351</v>
      </c>
      <c r="H31" s="4">
        <f>J12+ABS(H29)</f>
        <v>3070.5700031375891</v>
      </c>
      <c r="J31">
        <v>65.989999999999995</v>
      </c>
      <c r="K31" s="37" t="s">
        <v>264</v>
      </c>
    </row>
    <row r="32" spans="1:11" x14ac:dyDescent="0.2">
      <c r="J32">
        <v>52.21</v>
      </c>
      <c r="K32" s="38" t="s">
        <v>265</v>
      </c>
    </row>
    <row r="33" spans="7:11" x14ac:dyDescent="0.2">
      <c r="G33" t="s">
        <v>352</v>
      </c>
      <c r="H33">
        <f>J9-H31</f>
        <v>1376.5199968624102</v>
      </c>
      <c r="J33">
        <v>43.5</v>
      </c>
      <c r="K33" s="37" t="s">
        <v>266</v>
      </c>
    </row>
    <row r="34" spans="7:11" x14ac:dyDescent="0.2">
      <c r="J34">
        <v>40</v>
      </c>
      <c r="K34" s="38" t="s">
        <v>267</v>
      </c>
    </row>
    <row r="35" spans="7:11" x14ac:dyDescent="0.2">
      <c r="G35" t="s">
        <v>353</v>
      </c>
      <c r="J35">
        <v>20</v>
      </c>
      <c r="K35" s="37" t="s">
        <v>276</v>
      </c>
    </row>
    <row r="36" spans="7:11" x14ac:dyDescent="0.2">
      <c r="G36" t="s">
        <v>355</v>
      </c>
      <c r="H36">
        <v>81.98</v>
      </c>
      <c r="J36">
        <v>19.100000000000001</v>
      </c>
      <c r="K36" s="38" t="s">
        <v>268</v>
      </c>
    </row>
    <row r="37" spans="7:11" x14ac:dyDescent="0.2">
      <c r="G37" t="s">
        <v>354</v>
      </c>
      <c r="H37">
        <v>154.94</v>
      </c>
      <c r="J37">
        <v>13.84</v>
      </c>
      <c r="K37" s="37" t="s">
        <v>269</v>
      </c>
    </row>
    <row r="38" spans="7:11" x14ac:dyDescent="0.2">
      <c r="G38" t="s">
        <v>356</v>
      </c>
      <c r="H38">
        <v>42.83</v>
      </c>
      <c r="J38">
        <v>3</v>
      </c>
      <c r="K38" s="38" t="s">
        <v>270</v>
      </c>
    </row>
    <row r="39" spans="7:11" x14ac:dyDescent="0.2">
      <c r="G39" t="s">
        <v>64</v>
      </c>
      <c r="H39">
        <f>H33-SUM(H36:H38)</f>
        <v>1096.7699968624102</v>
      </c>
      <c r="J39">
        <v>1.1000000000000001</v>
      </c>
      <c r="K39" s="37" t="s">
        <v>277</v>
      </c>
    </row>
    <row r="40" spans="7:11" x14ac:dyDescent="0.2">
      <c r="J40">
        <f>SUM(J23:J39)</f>
        <v>2220.6699999999996</v>
      </c>
    </row>
  </sheetData>
  <conditionalFormatting sqref="D1:E1048576">
    <cfRule type="cellIs" dxfId="13"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B16"/>
  <sheetViews>
    <sheetView workbookViewId="0">
      <selection activeCell="B16" sqref="B1:B16"/>
    </sheetView>
  </sheetViews>
  <sheetFormatPr baseColWidth="10" defaultRowHeight="16" x14ac:dyDescent="0.2"/>
  <cols>
    <col min="1" max="1" width="10.83203125" style="41"/>
  </cols>
  <sheetData>
    <row r="1" spans="1:2" x14ac:dyDescent="0.2">
      <c r="A1" s="48" t="s">
        <v>402</v>
      </c>
      <c r="B1">
        <v>474.64</v>
      </c>
    </row>
    <row r="2" spans="1:2" x14ac:dyDescent="0.2">
      <c r="A2" s="51" t="s">
        <v>262</v>
      </c>
      <c r="B2">
        <v>441.88</v>
      </c>
    </row>
    <row r="3" spans="1:2" x14ac:dyDescent="0.2">
      <c r="A3" s="48" t="s">
        <v>403</v>
      </c>
      <c r="B3">
        <v>359.22</v>
      </c>
    </row>
    <row r="4" spans="1:2" x14ac:dyDescent="0.2">
      <c r="A4" s="51" t="s">
        <v>404</v>
      </c>
      <c r="B4">
        <v>300</v>
      </c>
    </row>
    <row r="5" spans="1:2" x14ac:dyDescent="0.2">
      <c r="A5" s="48" t="s">
        <v>430</v>
      </c>
      <c r="B5">
        <v>298.44</v>
      </c>
    </row>
    <row r="6" spans="1:2" x14ac:dyDescent="0.2">
      <c r="A6" s="51" t="s">
        <v>396</v>
      </c>
      <c r="B6">
        <v>150.94</v>
      </c>
    </row>
    <row r="7" spans="1:2" x14ac:dyDescent="0.2">
      <c r="A7" s="48" t="s">
        <v>397</v>
      </c>
      <c r="B7">
        <v>81.489999999999995</v>
      </c>
    </row>
    <row r="8" spans="1:2" x14ac:dyDescent="0.2">
      <c r="A8" s="51" t="s">
        <v>398</v>
      </c>
      <c r="B8">
        <v>74.790000000000006</v>
      </c>
    </row>
    <row r="9" spans="1:2" x14ac:dyDescent="0.2">
      <c r="A9" s="48" t="s">
        <v>357</v>
      </c>
      <c r="B9">
        <v>59.09</v>
      </c>
    </row>
    <row r="10" spans="1:2" x14ac:dyDescent="0.2">
      <c r="A10" s="51" t="s">
        <v>267</v>
      </c>
      <c r="B10">
        <v>40</v>
      </c>
    </row>
    <row r="11" spans="1:2" x14ac:dyDescent="0.2">
      <c r="A11" s="48" t="s">
        <v>267</v>
      </c>
      <c r="B11">
        <v>40</v>
      </c>
    </row>
    <row r="12" spans="1:2" x14ac:dyDescent="0.2">
      <c r="A12" s="51" t="s">
        <v>405</v>
      </c>
      <c r="B12">
        <v>37.17</v>
      </c>
    </row>
    <row r="13" spans="1:2" x14ac:dyDescent="0.2">
      <c r="A13" s="48" t="s">
        <v>399</v>
      </c>
      <c r="B13">
        <v>27</v>
      </c>
    </row>
    <row r="14" spans="1:2" x14ac:dyDescent="0.2">
      <c r="A14" s="51" t="s">
        <v>400</v>
      </c>
      <c r="B14">
        <v>5.59</v>
      </c>
    </row>
    <row r="15" spans="1:2" x14ac:dyDescent="0.2">
      <c r="A15" s="48" t="s">
        <v>358</v>
      </c>
      <c r="B15">
        <v>2.36</v>
      </c>
    </row>
    <row r="16" spans="1:2" x14ac:dyDescent="0.2">
      <c r="B16">
        <f>SUM(B1:B15)</f>
        <v>2392.6100000000006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AUTOMAINTENANCE</v>
      </c>
      <c r="F2">
        <f>monthlyStatus!B2</f>
        <v>25</v>
      </c>
      <c r="G2" t="str">
        <f>monthlyStatus!C2</f>
        <v>-474.6400146484375</v>
      </c>
      <c r="H2">
        <f>monthlyStatus!D2</f>
        <v>-449.6400146484375</v>
      </c>
    </row>
    <row r="3" spans="1:8" x14ac:dyDescent="0.2">
      <c r="A3" t="str">
        <f>DollarsPerMonth!A3</f>
        <v>AUTO FINANCE</v>
      </c>
      <c r="B3" t="str">
        <f>DollarsPerMonth!B3</f>
        <v>883.91</v>
      </c>
      <c r="C3" t="str">
        <f>_xlfn.XLOOKUP(A3,E2:E18,G2:G18,0,0)</f>
        <v>-441.8800048828125</v>
      </c>
      <c r="E3" t="str">
        <f>monthlyStatus!A3</f>
        <v>AUTO FINANCE</v>
      </c>
      <c r="F3">
        <f>monthlyStatus!B3</f>
        <v>883.91</v>
      </c>
      <c r="G3" t="str">
        <f>monthlyStatus!C3</f>
        <v>-441.8800048828125</v>
      </c>
      <c r="H3">
        <f>monthlyStatus!D3</f>
        <v>442.02999511718747</v>
      </c>
    </row>
    <row r="4" spans="1:8" x14ac:dyDescent="0.2">
      <c r="A4" t="str">
        <f>DollarsPerMonth!A4</f>
        <v>AUTOINSURANCE</v>
      </c>
      <c r="B4" t="str">
        <f>DollarsPerMonth!B4</f>
        <v>162.73</v>
      </c>
      <c r="C4">
        <f t="shared" ref="C4:C26" si="0">_xlfn.XLOOKUP(A4,E3:E19,G3:G19,0,0)</f>
        <v>0</v>
      </c>
      <c r="E4" t="str">
        <f>monthlyStatus!A4</f>
        <v>MEDICAL/DENTAL/VISION INSURANCE</v>
      </c>
      <c r="F4">
        <f>monthlyStatus!B4</f>
        <v>13.84</v>
      </c>
      <c r="G4" t="str">
        <f>monthlyStatus!C4</f>
        <v>-359.2200012207031</v>
      </c>
      <c r="H4">
        <f>monthlyStatus!D4</f>
        <v>-345.38000122070315</v>
      </c>
    </row>
    <row r="5" spans="1:8" x14ac:dyDescent="0.2">
      <c r="A5" t="str">
        <f>DollarsPerMonth!A5</f>
        <v>AUTOMAINTENANCE</v>
      </c>
      <c r="B5" t="str">
        <f>DollarsPerMonth!B5</f>
        <v>25.00</v>
      </c>
      <c r="C5">
        <f t="shared" si="0"/>
        <v>0</v>
      </c>
      <c r="E5" t="str">
        <f>monthlyStatus!A5</f>
        <v>HOUSEHOLD</v>
      </c>
      <c r="F5">
        <f>monthlyStatus!B5</f>
        <v>302.95</v>
      </c>
      <c r="G5" t="str">
        <f>monthlyStatus!C5</f>
        <v>-300.0</v>
      </c>
      <c r="H5">
        <f>monthlyStatus!D5</f>
        <v>2.9499999999999886</v>
      </c>
    </row>
    <row r="6" spans="1:8" x14ac:dyDescent="0.2">
      <c r="A6" t="str">
        <f>DollarsPerMonth!A6</f>
        <v>BANK/CARDFEES</v>
      </c>
      <c r="B6" t="str">
        <f>DollarsPerMonth!B6</f>
        <v>0.00</v>
      </c>
      <c r="C6">
        <f t="shared" si="0"/>
        <v>0</v>
      </c>
      <c r="E6" t="str">
        <f>monthlyStatus!A6</f>
        <v>FOOD/GROCERIES</v>
      </c>
      <c r="F6">
        <f>monthlyStatus!B6</f>
        <v>518.29999999999995</v>
      </c>
      <c r="G6" t="str">
        <f>monthlyStatus!C6</f>
        <v>-298.44000244140625</v>
      </c>
      <c r="H6">
        <f>monthlyStatus!D6</f>
        <v>219.8599975585937</v>
      </c>
    </row>
    <row r="7" spans="1:8" x14ac:dyDescent="0.2">
      <c r="A7" t="str">
        <f>DollarsPerMonth!A7</f>
        <v>BOOKS/EDUCATION</v>
      </c>
      <c r="B7" t="str">
        <f>DollarsPerMonth!B7</f>
        <v>0.00</v>
      </c>
      <c r="C7">
        <f t="shared" si="0"/>
        <v>0</v>
      </c>
      <c r="E7" t="str">
        <f>monthlyStatus!A7</f>
        <v>GAS</v>
      </c>
      <c r="F7">
        <f>monthlyStatus!B7</f>
        <v>1071.28</v>
      </c>
      <c r="G7" t="str">
        <f>monthlyStatus!C7</f>
        <v>-150.94000244140625</v>
      </c>
      <c r="H7">
        <f>monthlyStatus!D7</f>
        <v>920.33999755859372</v>
      </c>
    </row>
    <row r="8" spans="1:8" x14ac:dyDescent="0.2">
      <c r="A8" t="str">
        <f>DollarsPerMonth!A8</f>
        <v>CHARITABLECONTRIBUTIONS</v>
      </c>
      <c r="B8" t="str">
        <f>DollarsPerMonth!B8</f>
        <v>0.00</v>
      </c>
      <c r="C8" t="str">
        <f t="shared" si="0"/>
        <v/>
      </c>
      <c r="E8" t="str">
        <f>monthlyStatus!A8</f>
        <v>INTERNET SERVICE</v>
      </c>
      <c r="F8">
        <f>monthlyStatus!B8</f>
        <v>87.9</v>
      </c>
      <c r="G8" t="str">
        <f>monthlyStatus!C8</f>
        <v>-81.48999786376953</v>
      </c>
      <c r="H8">
        <f>monthlyStatus!D8</f>
        <v>6.4100021362304744</v>
      </c>
    </row>
    <row r="9" spans="1:8" x14ac:dyDescent="0.2">
      <c r="A9" t="str">
        <f>DollarsPerMonth!A9</f>
        <v>COMPUTERSOFTWARE/HARDWARE</v>
      </c>
      <c r="B9" t="str">
        <f>DollarsPerMonth!B9</f>
        <v>0.00</v>
      </c>
      <c r="C9" t="str">
        <f t="shared" si="0"/>
        <v>-2.359999895095825</v>
      </c>
      <c r="E9" t="str">
        <f>monthlyStatus!A9</f>
        <v>UTILITIES : ELECTRICITY</v>
      </c>
      <c r="F9">
        <f>monthlyStatus!B9</f>
        <v>69.349999999999994</v>
      </c>
      <c r="G9" t="str">
        <f>monthlyStatus!C9</f>
        <v>-74.79000091552734</v>
      </c>
      <c r="H9">
        <f>monthlyStatus!D9</f>
        <v>-5.4400009155273494</v>
      </c>
    </row>
    <row r="10" spans="1:8" x14ac:dyDescent="0.2">
      <c r="A10" t="str">
        <f>DollarsPerMonth!A10</f>
        <v>DININGOUT</v>
      </c>
      <c r="B10" t="str">
        <f>DollarsPerMonth!B10</f>
        <v>40.00</v>
      </c>
      <c r="C10" t="str">
        <f t="shared" si="0"/>
        <v>-37.16999816894531</v>
      </c>
      <c r="E10" t="str">
        <f>monthlyStatus!A10</f>
        <v>PETCARE</v>
      </c>
      <c r="F10">
        <f>monthlyStatus!B10</f>
        <v>76.650000000000006</v>
      </c>
      <c r="G10" t="str">
        <f>monthlyStatus!C10</f>
        <v>-59.09000015258789</v>
      </c>
      <c r="H10">
        <f>monthlyStatus!D10</f>
        <v>17.559999847412115</v>
      </c>
    </row>
    <row r="11" spans="1:8" x14ac:dyDescent="0.2">
      <c r="A11" t="str">
        <f>DollarsPerMonth!A11</f>
        <v>DOCTOR/HOSPITAL</v>
      </c>
      <c r="B11" t="str">
        <f>DollarsPerMonth!B11</f>
        <v>661.26</v>
      </c>
      <c r="C11" t="str">
        <f t="shared" si="0"/>
        <v>-40.0</v>
      </c>
      <c r="E11" t="str">
        <f>monthlyStatus!A11</f>
        <v>DOCTOR/HOSPITAL</v>
      </c>
      <c r="F11">
        <f>monthlyStatus!B11</f>
        <v>661.26</v>
      </c>
      <c r="G11" t="str">
        <f>monthlyStatus!C11</f>
        <v>-40.0</v>
      </c>
      <c r="H11">
        <f>monthlyStatus!D11</f>
        <v>621.26</v>
      </c>
    </row>
    <row r="12" spans="1:8" x14ac:dyDescent="0.2">
      <c r="A12" t="str">
        <f>DollarsPerMonth!A12</f>
        <v>FOOD/GROCERIES</v>
      </c>
      <c r="B12" t="str">
        <f>DollarsPerMonth!B12</f>
        <v>518.30</v>
      </c>
      <c r="C12">
        <f t="shared" si="0"/>
        <v>0</v>
      </c>
      <c r="E12" t="str">
        <f>monthlyStatus!A12</f>
        <v>LEGAL/DEBT</v>
      </c>
      <c r="F12">
        <f>monthlyStatus!B12</f>
        <v>40</v>
      </c>
      <c r="G12" t="str">
        <f>monthlyStatus!C12</f>
        <v>-40.0</v>
      </c>
      <c r="H12">
        <f>monthlyStatus!D12</f>
        <v>0</v>
      </c>
    </row>
    <row r="13" spans="1:8" x14ac:dyDescent="0.2">
      <c r="A13" t="str">
        <f>DollarsPerMonth!A13</f>
        <v>GAS</v>
      </c>
      <c r="B13" t="str">
        <f>DollarsPerMonth!B13</f>
        <v>1071.28</v>
      </c>
      <c r="C13">
        <f t="shared" si="0"/>
        <v>0</v>
      </c>
      <c r="E13" t="str">
        <f>monthlyStatus!A13</f>
        <v>DININGOUT</v>
      </c>
      <c r="F13">
        <f>monthlyStatus!B13</f>
        <v>40</v>
      </c>
      <c r="G13" t="str">
        <f>monthlyStatus!C13</f>
        <v>-37.16999816894531</v>
      </c>
      <c r="H13">
        <f>monthlyStatus!D13</f>
        <v>2.8300018310546875</v>
      </c>
    </row>
    <row r="14" spans="1:8" x14ac:dyDescent="0.2">
      <c r="A14" t="str">
        <f>DollarsPerMonth!A14</f>
        <v>GIFTS/DONATIONS</v>
      </c>
      <c r="B14" t="str">
        <f>DollarsPerMonth!B14</f>
        <v>21.90</v>
      </c>
      <c r="C14" t="str">
        <f t="shared" si="0"/>
        <v/>
      </c>
      <c r="E14" t="str">
        <f>monthlyStatus!A14</f>
        <v>MISCELLANEOUS</v>
      </c>
      <c r="F14">
        <f>monthlyStatus!B14</f>
        <v>30</v>
      </c>
      <c r="G14" t="str">
        <f>monthlyStatus!C14</f>
        <v>-27.0</v>
      </c>
      <c r="H14">
        <f>monthlyStatus!D14</f>
        <v>3</v>
      </c>
    </row>
    <row r="15" spans="1:8" x14ac:dyDescent="0.2">
      <c r="A15" t="str">
        <f>DollarsPerMonth!A15</f>
        <v>HEALTHINSURANCE</v>
      </c>
      <c r="B15" t="str">
        <f>DollarsPerMonth!B15</f>
        <v>19.16</v>
      </c>
      <c r="C15" t="str">
        <f t="shared" si="0"/>
        <v>-5.590000152587891</v>
      </c>
      <c r="E15" t="str">
        <f>monthlyStatus!A15</f>
        <v>HEALTHINSURANCE</v>
      </c>
      <c r="F15">
        <f>monthlyStatus!B15</f>
        <v>19.16</v>
      </c>
      <c r="G15" t="str">
        <f>monthlyStatus!C15</f>
        <v>-5.590000152587891</v>
      </c>
      <c r="H15">
        <f>monthlyStatus!D15</f>
        <v>13.56999984741211</v>
      </c>
    </row>
    <row r="16" spans="1:8" x14ac:dyDescent="0.2">
      <c r="A16" t="str">
        <f>DollarsPerMonth!A16</f>
        <v>HOUSEHOLD</v>
      </c>
      <c r="B16" t="str">
        <f>DollarsPerMonth!B16</f>
        <v>302.95</v>
      </c>
      <c r="C16">
        <f t="shared" si="0"/>
        <v>0</v>
      </c>
      <c r="E16" t="str">
        <f>monthlyStatus!A16</f>
        <v>COMPUTERSOFTWARE/HARDWARE</v>
      </c>
      <c r="F16">
        <f>monthlyStatus!B16</f>
        <v>0</v>
      </c>
      <c r="G16" t="str">
        <f>monthlyStatus!C16</f>
        <v>-2.359999895095825</v>
      </c>
      <c r="H16">
        <f>monthlyStatus!D16</f>
        <v>-2.3599998950958252</v>
      </c>
    </row>
    <row r="17" spans="1:8" x14ac:dyDescent="0.2">
      <c r="A17" t="str">
        <f>DollarsPerMonth!A17</f>
        <v>INTERNET SERVICE</v>
      </c>
      <c r="B17" t="str">
        <f>DollarsPerMonth!B17</f>
        <v>87.90</v>
      </c>
      <c r="C17">
        <f t="shared" si="0"/>
        <v>0</v>
      </c>
      <c r="E17" t="str">
        <f>monthlyStatus!A17</f>
        <v>CASH</v>
      </c>
      <c r="F17">
        <f>monthlyStatus!B17</f>
        <v>40</v>
      </c>
      <c r="G17" t="str">
        <f>monthlyStatus!C17</f>
        <v>3.5</v>
      </c>
      <c r="H17">
        <f>monthlyStatus!D17</f>
        <v>36.5</v>
      </c>
    </row>
    <row r="18" spans="1:8" x14ac:dyDescent="0.2">
      <c r="A18" t="str">
        <f>DollarsPerMonth!A18</f>
        <v>MEDICAL/DENTAL/VISION INSURANCE</v>
      </c>
      <c r="B18" t="str">
        <f>DollarsPerMonth!B18</f>
        <v>13.84</v>
      </c>
      <c r="C18">
        <f t="shared" si="0"/>
        <v>0</v>
      </c>
      <c r="E18" t="str">
        <f>monthlyStatus!A18</f>
        <v/>
      </c>
      <c r="F18">
        <f>monthlyStatus!B18</f>
        <v>0</v>
      </c>
      <c r="G18" t="str">
        <f>monthlyStatus!C18</f>
        <v/>
      </c>
      <c r="H18">
        <f>monthlyStatus!D18</f>
        <v>0</v>
      </c>
    </row>
    <row r="19" spans="1:8" x14ac:dyDescent="0.2">
      <c r="A19" t="str">
        <f>DollarsPerMonth!A19</f>
        <v>MEDICAL/DENTAL/VISION</v>
      </c>
      <c r="B19" t="str">
        <f>DollarsPerMonth!B19</f>
        <v>184.93</v>
      </c>
      <c r="C19" t="str">
        <f t="shared" si="0"/>
        <v/>
      </c>
      <c r="E19" t="str">
        <f>monthlyStatus!A19</f>
        <v>Categories that nothing was spent in:</v>
      </c>
    </row>
    <row r="20" spans="1:8" x14ac:dyDescent="0.2">
      <c r="A20" t="str">
        <f>DollarsPerMonth!A20</f>
        <v>NEWSPAPER/MAGAZINES</v>
      </c>
      <c r="B20" t="str">
        <f>DollarsPerMonth!B20</f>
        <v>3.95</v>
      </c>
      <c r="C20" t="str">
        <f t="shared" si="0"/>
        <v/>
      </c>
      <c r="E20" t="str">
        <f>monthlyStatus!A20</f>
        <v>GIFTS/DONATIONS</v>
      </c>
      <c r="F20">
        <f>monthlyStatus!B20</f>
        <v>21.9</v>
      </c>
      <c r="G20" t="str">
        <f>monthlyStatus!C20</f>
        <v/>
      </c>
      <c r="H20">
        <f>monthlyStatus!D20</f>
        <v>0</v>
      </c>
    </row>
    <row r="21" spans="1:8" x14ac:dyDescent="0.2">
      <c r="A21" t="str">
        <f>DollarsPerMonth!A21</f>
        <v>PETCARE</v>
      </c>
      <c r="B21" t="str">
        <f>DollarsPerMonth!B21</f>
        <v>76.65</v>
      </c>
      <c r="C21">
        <f t="shared" si="0"/>
        <v>0</v>
      </c>
      <c r="E21" t="str">
        <f>monthlyStatus!A21</f>
        <v>UTILITIES : INTERNET</v>
      </c>
      <c r="F21">
        <f>monthlyStatus!B21</f>
        <v>173.98</v>
      </c>
      <c r="G21" t="str">
        <f>monthlyStatus!C21</f>
        <v/>
      </c>
      <c r="H21">
        <f>monthlyStatus!D21</f>
        <v>0</v>
      </c>
    </row>
    <row r="22" spans="1:8" x14ac:dyDescent="0.2">
      <c r="A22" t="str">
        <f>DollarsPerMonth!A22</f>
        <v>TITHE</v>
      </c>
      <c r="B22" t="str">
        <f>DollarsPerMonth!B22</f>
        <v>0.00</v>
      </c>
      <c r="C22">
        <f t="shared" si="0"/>
        <v>0</v>
      </c>
      <c r="E22" t="str">
        <f>monthlyStatus!A22</f>
        <v>CHARITABLECONTRIBUTIONS</v>
      </c>
      <c r="F22">
        <f>monthlyStatus!B22</f>
        <v>0</v>
      </c>
      <c r="G22" t="str">
        <f>monthlyStatus!C22</f>
        <v/>
      </c>
      <c r="H22">
        <f>monthlyStatus!D22</f>
        <v>0</v>
      </c>
    </row>
    <row r="23" spans="1:8" x14ac:dyDescent="0.2">
      <c r="A23" t="str">
        <f>DollarsPerMonth!A23</f>
        <v>TRAVEL</v>
      </c>
      <c r="B23" t="str">
        <f>DollarsPerMonth!B23</f>
        <v>0.00</v>
      </c>
      <c r="C23" t="str">
        <f t="shared" si="0"/>
        <v/>
      </c>
      <c r="E23" t="str">
        <f>monthlyStatus!A23</f>
        <v>AUTOINSURANCE</v>
      </c>
      <c r="F23">
        <f>monthlyStatus!B23</f>
        <v>162.72999999999999</v>
      </c>
      <c r="G23" t="str">
        <f>monthlyStatus!C23</f>
        <v/>
      </c>
      <c r="H23">
        <f>monthlyStatus!D23</f>
        <v>0</v>
      </c>
    </row>
    <row r="24" spans="1:8" x14ac:dyDescent="0.2">
      <c r="A24" t="str">
        <f>DollarsPerMonth!A24</f>
        <v>UTILITIES : ELECTRICITY</v>
      </c>
      <c r="B24" t="str">
        <f>DollarsPerMonth!B24</f>
        <v>69.35</v>
      </c>
      <c r="C24">
        <f t="shared" si="0"/>
        <v>0</v>
      </c>
      <c r="E24" t="str">
        <f>monthlyStatus!A24</f>
        <v>VACATION/TRAVEL</v>
      </c>
      <c r="F24">
        <f>monthlyStatus!B24</f>
        <v>20</v>
      </c>
      <c r="G24" t="str">
        <f>monthlyStatus!C24</f>
        <v/>
      </c>
      <c r="H24">
        <f>monthlyStatus!D24</f>
        <v>0</v>
      </c>
    </row>
    <row r="25" spans="1:8" x14ac:dyDescent="0.2">
      <c r="A25" t="str">
        <f>DollarsPerMonth!A25</f>
        <v>UTILITIES : INTERNET</v>
      </c>
      <c r="B25" t="str">
        <f>DollarsPerMonth!B25</f>
        <v>173.98</v>
      </c>
      <c r="C25">
        <f t="shared" si="0"/>
        <v>0</v>
      </c>
      <c r="E25" t="str">
        <f>monthlyStatus!A25</f>
        <v>BOOKS/EDUCATION</v>
      </c>
      <c r="F25">
        <f>monthlyStatus!B25</f>
        <v>0</v>
      </c>
      <c r="G25" t="str">
        <f>monthlyStatus!C25</f>
        <v/>
      </c>
      <c r="H25">
        <f>monthlyStatus!D25</f>
        <v>0</v>
      </c>
    </row>
    <row r="26" spans="1:8" x14ac:dyDescent="0.2">
      <c r="A26" t="str">
        <f>DollarsPerMonth!A29</f>
        <v>MISCELLANEOUS</v>
      </c>
      <c r="B26" t="str">
        <f>DollarsPerMonth!B29</f>
        <v>30.00</v>
      </c>
      <c r="C26">
        <f t="shared" si="0"/>
        <v>0</v>
      </c>
      <c r="E26" t="str">
        <f>monthlyStatus!A26</f>
        <v>TRAVEL</v>
      </c>
      <c r="F26">
        <f>monthlyStatus!B26</f>
        <v>0</v>
      </c>
      <c r="G26" t="str">
        <f>monthlyStatus!C26</f>
        <v/>
      </c>
      <c r="H26">
        <f>monthlyStatus!D26</f>
        <v>0</v>
      </c>
    </row>
    <row r="27" spans="1:8" x14ac:dyDescent="0.2">
      <c r="E27" t="str">
        <f>monthlyStatus!A27</f>
        <v>BANK/CARDFEES</v>
      </c>
      <c r="F27">
        <f>monthlyStatus!B27</f>
        <v>0</v>
      </c>
      <c r="G27" t="str">
        <f>monthlyStatus!C27</f>
        <v/>
      </c>
      <c r="H27">
        <f>monthlyStatus!D27</f>
        <v>0</v>
      </c>
    </row>
    <row r="28" spans="1:8" x14ac:dyDescent="0.2">
      <c r="E28" t="str">
        <f>monthlyStatus!A28</f>
        <v>MEDICAL/DENTAL/VISION</v>
      </c>
      <c r="F28">
        <f>monthlyStatus!B28</f>
        <v>184.93</v>
      </c>
      <c r="G28" t="str">
        <f>monthlyStatus!C28</f>
        <v/>
      </c>
      <c r="H28">
        <f>monthlyStatus!D28</f>
        <v>0</v>
      </c>
    </row>
    <row r="29" spans="1:8" x14ac:dyDescent="0.2">
      <c r="E29" t="str">
        <f>monthlyStatus!A29</f>
        <v>NEWSPAPER/MAGAZINES</v>
      </c>
      <c r="F29">
        <f>monthlyStatus!B29</f>
        <v>3.95</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monthlyStatus!A31</f>
        <v>Spent amounts in categories that aren't in the budget:</v>
      </c>
      <c r="F36">
        <f>monthlyStatus!B31</f>
        <v>0</v>
      </c>
      <c r="G36" t="str">
        <f>monthlyStatus!C31</f>
        <v/>
      </c>
      <c r="H36">
        <f>monthlyStatus!D31</f>
        <v>0</v>
      </c>
    </row>
  </sheetData>
  <conditionalFormatting sqref="H2:H36">
    <cfRule type="cellIs" dxfId="12"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25.6640625" bestFit="1" customWidth="1"/>
  </cols>
  <sheetData>
    <row r="1" spans="1:2" x14ac:dyDescent="0.2">
      <c r="A1" t="s">
        <v>167</v>
      </c>
      <c r="B1" t="s">
        <v>168</v>
      </c>
    </row>
    <row r="2" spans="1:2" x14ac:dyDescent="0.2">
      <c r="A2" s="41" t="s">
        <v>178</v>
      </c>
      <c r="B2" s="41" t="s">
        <v>322</v>
      </c>
    </row>
    <row r="3" spans="1:2" x14ac:dyDescent="0.2">
      <c r="A3" s="41" t="s">
        <v>217</v>
      </c>
      <c r="B3" s="41" t="s">
        <v>305</v>
      </c>
    </row>
    <row r="4" spans="1:2" x14ac:dyDescent="0.2">
      <c r="A4" s="41" t="s">
        <v>215</v>
      </c>
      <c r="B4" s="41" t="s">
        <v>306</v>
      </c>
    </row>
    <row r="5" spans="1:2" x14ac:dyDescent="0.2">
      <c r="A5" s="41" t="s">
        <v>223</v>
      </c>
      <c r="B5" s="41" t="s">
        <v>307</v>
      </c>
    </row>
    <row r="6" spans="1:2" x14ac:dyDescent="0.2">
      <c r="A6" s="41" t="s">
        <v>237</v>
      </c>
      <c r="B6" s="41" t="s">
        <v>236</v>
      </c>
    </row>
    <row r="7" spans="1:2" x14ac:dyDescent="0.2">
      <c r="A7" s="41" t="s">
        <v>208</v>
      </c>
      <c r="B7" s="41" t="s">
        <v>236</v>
      </c>
    </row>
    <row r="8" spans="1:2" x14ac:dyDescent="0.2">
      <c r="A8" s="41" t="s">
        <v>126</v>
      </c>
      <c r="B8" s="41" t="s">
        <v>308</v>
      </c>
    </row>
    <row r="9" spans="1:2" x14ac:dyDescent="0.2">
      <c r="A9" s="41" t="s">
        <v>207</v>
      </c>
      <c r="B9" s="41" t="s">
        <v>236</v>
      </c>
    </row>
    <row r="10" spans="1:2" x14ac:dyDescent="0.2">
      <c r="A10" s="41" t="s">
        <v>238</v>
      </c>
      <c r="B10" s="41" t="s">
        <v>236</v>
      </c>
    </row>
    <row r="11" spans="1:2" x14ac:dyDescent="0.2">
      <c r="A11" s="41" t="s">
        <v>226</v>
      </c>
      <c r="B11" s="41" t="s">
        <v>308</v>
      </c>
    </row>
    <row r="12" spans="1:2" x14ac:dyDescent="0.2">
      <c r="A12" s="41" t="s">
        <v>235</v>
      </c>
      <c r="B12" s="41" t="s">
        <v>309</v>
      </c>
    </row>
    <row r="13" spans="1:2" x14ac:dyDescent="0.2">
      <c r="A13" s="41" t="s">
        <v>205</v>
      </c>
      <c r="B13" s="41" t="s">
        <v>310</v>
      </c>
    </row>
    <row r="14" spans="1:2" x14ac:dyDescent="0.2">
      <c r="A14" s="41" t="s">
        <v>206</v>
      </c>
      <c r="B14" s="41" t="s">
        <v>311</v>
      </c>
    </row>
    <row r="15" spans="1:2" x14ac:dyDescent="0.2">
      <c r="A15" s="41" t="s">
        <v>229</v>
      </c>
      <c r="B15" s="41" t="s">
        <v>312</v>
      </c>
    </row>
    <row r="16" spans="1:2" x14ac:dyDescent="0.2">
      <c r="A16" s="41" t="s">
        <v>232</v>
      </c>
      <c r="B16" s="41" t="s">
        <v>313</v>
      </c>
    </row>
    <row r="17" spans="1:2" x14ac:dyDescent="0.2">
      <c r="A17" s="41" t="s">
        <v>216</v>
      </c>
      <c r="B17" s="41" t="s">
        <v>314</v>
      </c>
    </row>
    <row r="18" spans="1:2" x14ac:dyDescent="0.2">
      <c r="A18" s="41" t="s">
        <v>211</v>
      </c>
      <c r="B18" s="41" t="s">
        <v>315</v>
      </c>
    </row>
    <row r="19" spans="1:2" x14ac:dyDescent="0.2">
      <c r="A19" s="41" t="s">
        <v>225</v>
      </c>
      <c r="B19" s="41" t="s">
        <v>308</v>
      </c>
    </row>
    <row r="20" spans="1:2" x14ac:dyDescent="0.2">
      <c r="A20" s="41" t="s">
        <v>218</v>
      </c>
      <c r="B20" s="41" t="s">
        <v>287</v>
      </c>
    </row>
    <row r="21" spans="1:2" x14ac:dyDescent="0.2">
      <c r="A21" s="41" t="s">
        <v>221</v>
      </c>
      <c r="B21" s="41" t="s">
        <v>316</v>
      </c>
    </row>
    <row r="22" spans="1:2" x14ac:dyDescent="0.2">
      <c r="A22" s="41" t="s">
        <v>395</v>
      </c>
      <c r="B22" s="41" t="s">
        <v>407</v>
      </c>
    </row>
    <row r="23" spans="1:2" x14ac:dyDescent="0.2">
      <c r="A23" s="41" t="s">
        <v>210</v>
      </c>
      <c r="B23" s="41" t="s">
        <v>317</v>
      </c>
    </row>
    <row r="24" spans="1:2" x14ac:dyDescent="0.2">
      <c r="A24" s="41" t="s">
        <v>219</v>
      </c>
      <c r="B24" s="41" t="s">
        <v>318</v>
      </c>
    </row>
    <row r="25" spans="1:2" x14ac:dyDescent="0.2">
      <c r="A25" s="41" t="s">
        <v>239</v>
      </c>
      <c r="B25" s="41" t="s">
        <v>236</v>
      </c>
    </row>
    <row r="26" spans="1:2" x14ac:dyDescent="0.2">
      <c r="A26" s="41" t="s">
        <v>214</v>
      </c>
      <c r="B26" s="41" t="s">
        <v>236</v>
      </c>
    </row>
    <row r="27" spans="1:2" x14ac:dyDescent="0.2">
      <c r="A27" s="41" t="s">
        <v>233</v>
      </c>
      <c r="B27" s="41" t="s">
        <v>319</v>
      </c>
    </row>
    <row r="28" spans="1:2" x14ac:dyDescent="0.2">
      <c r="A28" s="41" t="s">
        <v>230</v>
      </c>
      <c r="B28" s="41" t="s">
        <v>320</v>
      </c>
    </row>
    <row r="29" spans="1:2" x14ac:dyDescent="0.2">
      <c r="A29" s="41" t="s">
        <v>222</v>
      </c>
      <c r="B29" s="41" t="s">
        <v>321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F12" sqref="F12"/>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253</v>
      </c>
      <c r="E1" t="s">
        <v>176</v>
      </c>
      <c r="F1" t="s">
        <v>175</v>
      </c>
      <c r="H1" t="s">
        <v>179</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-3093.16015625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-721.02001953125</v>
      </c>
      <c r="H3">
        <f t="shared" ref="H3:H25" si="1">IF(E3=0,C3,D3)</f>
        <v>-162.75</v>
      </c>
      <c r="O3" t="s">
        <v>241</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-1611.97998046875</v>
      </c>
      <c r="H4">
        <f t="shared" si="1"/>
        <v>24.941693999999998</v>
      </c>
      <c r="O4" t="s">
        <v>242</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243</v>
      </c>
      <c r="P5">
        <v>31</v>
      </c>
    </row>
    <row r="6" spans="1:16" x14ac:dyDescent="0.2">
      <c r="A6" t="str">
        <f>'DollarsPerDayExpenditures (2)'!A7</f>
        <v>BOOKS/EDUCATION</v>
      </c>
      <c r="B6" t="str">
        <f>'DollarsPerDayExpenditures (2)'!B7</f>
        <v>0.00</v>
      </c>
      <c r="C6">
        <f t="shared" si="0"/>
        <v>0</v>
      </c>
      <c r="D6">
        <v>0</v>
      </c>
      <c r="E6">
        <f t="shared" si="2"/>
        <v>0</v>
      </c>
      <c r="F6">
        <f>VLOOKUP(A6,Budget_1[[ActualSpendingCategory1]:[ amount]],2,FALSE)</f>
        <v>-1544.60009765625</v>
      </c>
      <c r="H6">
        <f t="shared" si="1"/>
        <v>0</v>
      </c>
      <c r="O6" t="s">
        <v>244</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-279.5</v>
      </c>
      <c r="H7">
        <f t="shared" si="1"/>
        <v>40.150044000000001</v>
      </c>
      <c r="O7" t="s">
        <v>245</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246</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-573</v>
      </c>
      <c r="H9">
        <f t="shared" si="1"/>
        <v>0</v>
      </c>
      <c r="O9" t="s">
        <v>247</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-680.54998779296875</v>
      </c>
      <c r="H10">
        <f t="shared" si="1"/>
        <v>40.150044000000001</v>
      </c>
      <c r="O10" t="s">
        <v>248</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-1798.77001953125</v>
      </c>
      <c r="H11">
        <f t="shared" si="1"/>
        <v>661.25905799999998</v>
      </c>
      <c r="O11" t="s">
        <v>249</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-3528.110107421875</v>
      </c>
      <c r="H12">
        <f t="shared" si="1"/>
        <v>518.300568</v>
      </c>
      <c r="O12" t="s">
        <v>250</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-5554.9501953125</v>
      </c>
      <c r="H13">
        <f t="shared" si="1"/>
        <v>1071.2761739999999</v>
      </c>
      <c r="O13" t="s">
        <v>251</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-949.9200439453125</v>
      </c>
      <c r="H14">
        <f t="shared" si="1"/>
        <v>21.900023999999998</v>
      </c>
      <c r="O14" t="s">
        <v>252</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-113.72000122070312</v>
      </c>
      <c r="H15">
        <f t="shared" si="1"/>
        <v>19.162520999999998</v>
      </c>
      <c r="P15">
        <f>SUM(P3:P14)</f>
        <v>365</v>
      </c>
    </row>
    <row r="16" spans="1:16" x14ac:dyDescent="0.2">
      <c r="A16" t="str">
        <f>'DollarsPerDayExpenditures (2)'!A17</f>
        <v>HOUSEHOLD</v>
      </c>
      <c r="B16" t="str">
        <f>'DollarsPerDayExpenditures (2)'!B17</f>
        <v>9.96</v>
      </c>
      <c r="C16">
        <f t="shared" si="0"/>
        <v>302.950332</v>
      </c>
      <c r="D16">
        <v>0</v>
      </c>
      <c r="E16">
        <f t="shared" si="2"/>
        <v>0</v>
      </c>
      <c r="F16">
        <f>VLOOKUP(A16,Budget_1[[ActualSpendingCategory1]:[ amount]],2,FALSE)</f>
        <v>-4441.35009765625</v>
      </c>
      <c r="H16">
        <f t="shared" si="1"/>
        <v>302.950332</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-1259.5499267578125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-120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-428.42001342773438</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-925</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f>VLOOKUP(A21,Budget_1[[ActualSpendingCategory1]:[ amount]],2,FALSE)</f>
        <v>-123.20999908447266</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f>VLOOKUP(A22,Budget_1[[ActualSpendingCategory1]:[ amount]],2,FALSE)</f>
        <v>-46.989997863769531</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-336.82000732421875</v>
      </c>
      <c r="H23">
        <f t="shared" si="1"/>
        <v>76.650083999999993</v>
      </c>
    </row>
    <row r="24" spans="1:16" x14ac:dyDescent="0.2">
      <c r="A24" t="str">
        <f>'DollarsPerDayExpenditures (2)'!A25</f>
        <v>TITHE</v>
      </c>
      <c r="B24" t="str">
        <f>'DollarsPerDayExpenditures (2)'!B25</f>
        <v>0.00</v>
      </c>
      <c r="C24">
        <f t="shared" si="0"/>
        <v>0</v>
      </c>
      <c r="D24">
        <v>0</v>
      </c>
      <c r="E24">
        <f t="shared" si="2"/>
        <v>0</v>
      </c>
      <c r="F24">
        <f>VLOOKUP(A24,Budget_1[[ActualSpendingCategory1]:[ amount]],2,FALSE)</f>
        <v>-301.45001220703125</v>
      </c>
      <c r="H24">
        <f t="shared" si="1"/>
        <v>0</v>
      </c>
    </row>
    <row r="25" spans="1:16" x14ac:dyDescent="0.2">
      <c r="A25" t="str">
        <f>'DollarsPerDayExpenditures (2)'!A29</f>
        <v>VACATION/TRAVEL</v>
      </c>
      <c r="B25" t="str">
        <f>'DollarsPerDayExpenditures (2)'!B29</f>
        <v>0.66</v>
      </c>
      <c r="C25">
        <f t="shared" si="0"/>
        <v>20.075022000000001</v>
      </c>
      <c r="D25">
        <v>0</v>
      </c>
      <c r="E25">
        <f t="shared" si="2"/>
        <v>0</v>
      </c>
      <c r="F25">
        <f>VLOOKUP(A25,Budget_1[[ActualSpendingCategory1]:[ amount]],2,FALSE)</f>
        <v>-385.760009765625</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33"/>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s="41" t="s">
        <v>206</v>
      </c>
      <c r="B2">
        <v>-5554.9501953125</v>
      </c>
      <c r="C2" s="41" t="s">
        <v>206</v>
      </c>
      <c r="D2">
        <v>5811.3</v>
      </c>
      <c r="E2">
        <v>256.34980468750018</v>
      </c>
      <c r="F2">
        <v>35.22</v>
      </c>
      <c r="G2" s="4" t="s">
        <v>408</v>
      </c>
      <c r="I2" t="b">
        <f t="shared" ref="I2:I26" si="1">ISBLANK(G2)</f>
        <v>0</v>
      </c>
      <c r="J2" t="str">
        <f t="shared" ref="J2:J26" si="2">LEFT(G2,1)</f>
        <v>7</v>
      </c>
      <c r="K2" t="b">
        <f t="shared" ref="K2:K28" si="3">OR(EXACT(" ",J2),EXACT("-",J2))</f>
        <v>0</v>
      </c>
      <c r="L2" t="b">
        <f t="shared" ref="L2:L28" si="4">AND(NOT(I2),K2)</f>
        <v>0</v>
      </c>
    </row>
    <row r="3" spans="1:12" x14ac:dyDescent="0.2">
      <c r="A3" s="41" t="s">
        <v>216</v>
      </c>
      <c r="B3">
        <v>-4441.35009765625</v>
      </c>
      <c r="C3" s="41" t="s">
        <v>216</v>
      </c>
      <c r="D3">
        <v>1643.4</v>
      </c>
      <c r="E3">
        <v>-2797.9500976562499</v>
      </c>
      <c r="F3">
        <v>9.9600000000000009</v>
      </c>
      <c r="G3" s="4" t="s">
        <v>409</v>
      </c>
      <c r="I3" t="b">
        <f t="shared" si="1"/>
        <v>0</v>
      </c>
      <c r="J3" t="str">
        <f t="shared" si="2"/>
        <v>-</v>
      </c>
      <c r="K3" t="b">
        <f t="shared" si="3"/>
        <v>1</v>
      </c>
      <c r="L3" t="b">
        <f t="shared" si="4"/>
        <v>1</v>
      </c>
    </row>
    <row r="4" spans="1:12" x14ac:dyDescent="0.2">
      <c r="A4" s="41" t="s">
        <v>205</v>
      </c>
      <c r="B4">
        <v>-3528.110107421875</v>
      </c>
      <c r="C4" s="41" t="s">
        <v>205</v>
      </c>
      <c r="D4">
        <v>2811.6</v>
      </c>
      <c r="E4">
        <v>-716.51010742187509</v>
      </c>
      <c r="F4">
        <v>17.04</v>
      </c>
      <c r="G4" s="4" t="s">
        <v>431</v>
      </c>
      <c r="I4" t="b">
        <f t="shared" si="1"/>
        <v>0</v>
      </c>
      <c r="J4" t="str">
        <f t="shared" si="2"/>
        <v>-</v>
      </c>
      <c r="K4" t="b">
        <f t="shared" si="3"/>
        <v>1</v>
      </c>
      <c r="L4" t="b">
        <f t="shared" si="4"/>
        <v>1</v>
      </c>
    </row>
    <row r="5" spans="1:12" x14ac:dyDescent="0.2">
      <c r="A5" s="41" t="s">
        <v>217</v>
      </c>
      <c r="B5">
        <v>-3093.16015625</v>
      </c>
      <c r="C5" s="41" t="s">
        <v>217</v>
      </c>
      <c r="D5">
        <v>4794.8999999999996</v>
      </c>
      <c r="E5">
        <v>1701.7398437499996</v>
      </c>
      <c r="F5">
        <v>29.06</v>
      </c>
      <c r="G5" s="4" t="s">
        <v>410</v>
      </c>
      <c r="I5" t="b">
        <f t="shared" si="1"/>
        <v>0</v>
      </c>
      <c r="J5" t="str">
        <f t="shared" si="2"/>
        <v>5</v>
      </c>
      <c r="K5" t="b">
        <f t="shared" si="3"/>
        <v>0</v>
      </c>
      <c r="L5" t="b">
        <f t="shared" si="4"/>
        <v>0</v>
      </c>
    </row>
    <row r="6" spans="1:12" x14ac:dyDescent="0.2">
      <c r="A6" s="41" t="s">
        <v>235</v>
      </c>
      <c r="B6">
        <v>-1798.77001953125</v>
      </c>
      <c r="C6" s="41" t="s">
        <v>235</v>
      </c>
      <c r="D6">
        <v>3587.1</v>
      </c>
      <c r="E6">
        <v>1788.3299804687499</v>
      </c>
      <c r="F6">
        <v>21.74</v>
      </c>
      <c r="G6" s="4" t="s">
        <v>411</v>
      </c>
      <c r="I6" t="b">
        <f t="shared" si="1"/>
        <v>0</v>
      </c>
      <c r="J6" t="str">
        <f t="shared" si="2"/>
        <v>8</v>
      </c>
      <c r="K6" t="b">
        <f t="shared" si="3"/>
        <v>0</v>
      </c>
      <c r="L6" t="b">
        <f t="shared" si="4"/>
        <v>0</v>
      </c>
    </row>
    <row r="7" spans="1:12" x14ac:dyDescent="0.2">
      <c r="A7" s="41" t="s">
        <v>223</v>
      </c>
      <c r="B7">
        <v>-1611.97998046875</v>
      </c>
      <c r="C7" s="41" t="s">
        <v>223</v>
      </c>
      <c r="D7">
        <v>135.29999999999998</v>
      </c>
      <c r="E7">
        <v>-1476.67998046875</v>
      </c>
      <c r="F7">
        <v>0.82</v>
      </c>
      <c r="G7" s="4" t="s">
        <v>412</v>
      </c>
      <c r="I7" t="b">
        <f t="shared" si="1"/>
        <v>0</v>
      </c>
      <c r="J7" t="str">
        <f t="shared" si="2"/>
        <v>-</v>
      </c>
      <c r="K7" t="b">
        <f t="shared" si="3"/>
        <v>1</v>
      </c>
      <c r="L7" t="b">
        <f t="shared" si="4"/>
        <v>1</v>
      </c>
    </row>
    <row r="8" spans="1:12" x14ac:dyDescent="0.2">
      <c r="A8" s="41" t="s">
        <v>208</v>
      </c>
      <c r="B8">
        <v>-1544.60009765625</v>
      </c>
      <c r="C8" s="41" t="s">
        <v>208</v>
      </c>
      <c r="D8">
        <v>0</v>
      </c>
      <c r="E8">
        <v>-1544.60009765625</v>
      </c>
      <c r="F8">
        <v>0</v>
      </c>
      <c r="G8" s="4" t="s">
        <v>166</v>
      </c>
      <c r="I8" t="b">
        <f t="shared" si="1"/>
        <v>0</v>
      </c>
      <c r="J8" t="str">
        <f t="shared" si="2"/>
        <v>-</v>
      </c>
      <c r="K8" t="b">
        <f t="shared" si="3"/>
        <v>1</v>
      </c>
      <c r="L8" t="b">
        <f t="shared" si="4"/>
        <v>1</v>
      </c>
    </row>
    <row r="9" spans="1:12" x14ac:dyDescent="0.2">
      <c r="A9" s="41" t="s">
        <v>337</v>
      </c>
      <c r="B9">
        <v>-1390.7100830078125</v>
      </c>
      <c r="C9" s="41" t="s">
        <v>337</v>
      </c>
      <c r="D9">
        <v>0</v>
      </c>
      <c r="E9">
        <v>-1390.7100830078125</v>
      </c>
      <c r="F9">
        <v>0</v>
      </c>
      <c r="G9" s="4" t="s">
        <v>166</v>
      </c>
      <c r="I9" t="b">
        <f t="shared" si="1"/>
        <v>0</v>
      </c>
      <c r="J9" t="str">
        <f t="shared" si="2"/>
        <v>-</v>
      </c>
      <c r="K9" t="b">
        <f t="shared" si="3"/>
        <v>1</v>
      </c>
      <c r="L9" t="b">
        <f t="shared" si="4"/>
        <v>1</v>
      </c>
    </row>
    <row r="10" spans="1:12" x14ac:dyDescent="0.2">
      <c r="A10" s="41" t="s">
        <v>211</v>
      </c>
      <c r="B10">
        <v>-1259.5499267578125</v>
      </c>
      <c r="C10" s="41" t="s">
        <v>211</v>
      </c>
      <c r="D10">
        <v>476.85</v>
      </c>
      <c r="E10">
        <v>-782.69992675781248</v>
      </c>
      <c r="F10">
        <v>2.89</v>
      </c>
      <c r="G10" s="4" t="s">
        <v>413</v>
      </c>
      <c r="I10" t="b">
        <f t="shared" si="1"/>
        <v>0</v>
      </c>
      <c r="J10" t="str">
        <f t="shared" si="2"/>
        <v>-</v>
      </c>
      <c r="K10" t="b">
        <f t="shared" si="3"/>
        <v>1</v>
      </c>
      <c r="L10" t="b">
        <f t="shared" si="4"/>
        <v>1</v>
      </c>
    </row>
    <row r="11" spans="1:12" x14ac:dyDescent="0.2">
      <c r="A11" s="41" t="s">
        <v>229</v>
      </c>
      <c r="B11">
        <v>-949.9200439453125</v>
      </c>
      <c r="C11" s="41" t="s">
        <v>229</v>
      </c>
      <c r="D11">
        <v>118.8</v>
      </c>
      <c r="E11">
        <v>-831.12004394531255</v>
      </c>
      <c r="F11">
        <v>0.72</v>
      </c>
      <c r="G11" s="4" t="s">
        <v>414</v>
      </c>
      <c r="I11" t="b">
        <f t="shared" si="1"/>
        <v>0</v>
      </c>
      <c r="J11" t="str">
        <f t="shared" si="2"/>
        <v>-</v>
      </c>
      <c r="K11" t="b">
        <f t="shared" si="3"/>
        <v>1</v>
      </c>
      <c r="L11" t="b">
        <f t="shared" si="4"/>
        <v>1</v>
      </c>
    </row>
    <row r="12" spans="1:12" x14ac:dyDescent="0.2">
      <c r="A12" s="41" t="s">
        <v>221</v>
      </c>
      <c r="B12">
        <v>-925</v>
      </c>
      <c r="C12" s="41" t="s">
        <v>221</v>
      </c>
      <c r="D12">
        <v>1003.2</v>
      </c>
      <c r="E12">
        <v>78.200000000000045</v>
      </c>
      <c r="F12">
        <v>6.08</v>
      </c>
      <c r="G12" s="4" t="s">
        <v>415</v>
      </c>
      <c r="I12" t="b">
        <f t="shared" si="1"/>
        <v>0</v>
      </c>
      <c r="J12" t="str">
        <f t="shared" si="2"/>
        <v>1</v>
      </c>
      <c r="K12" t="b">
        <f t="shared" si="3"/>
        <v>0</v>
      </c>
      <c r="L12" t="b">
        <f t="shared" si="4"/>
        <v>0</v>
      </c>
    </row>
    <row r="13" spans="1:12" x14ac:dyDescent="0.2">
      <c r="A13" s="41" t="s">
        <v>230</v>
      </c>
      <c r="B13">
        <v>-895.97998046875</v>
      </c>
      <c r="C13" s="41" t="s">
        <v>230</v>
      </c>
      <c r="D13">
        <v>943.8</v>
      </c>
      <c r="E13">
        <v>47.820019531249955</v>
      </c>
      <c r="F13">
        <v>5.72</v>
      </c>
      <c r="G13" s="4" t="s">
        <v>416</v>
      </c>
      <c r="I13" t="b">
        <f t="shared" si="1"/>
        <v>0</v>
      </c>
      <c r="J13" t="str">
        <f t="shared" si="2"/>
        <v>8</v>
      </c>
      <c r="K13" t="b">
        <f t="shared" si="3"/>
        <v>0</v>
      </c>
      <c r="L13" t="b">
        <f t="shared" si="4"/>
        <v>0</v>
      </c>
    </row>
    <row r="14" spans="1:12" x14ac:dyDescent="0.2">
      <c r="A14" s="41" t="s">
        <v>215</v>
      </c>
      <c r="B14">
        <v>-721.02001953125</v>
      </c>
      <c r="C14" s="41" t="s">
        <v>215</v>
      </c>
      <c r="D14">
        <v>882.74999999999989</v>
      </c>
      <c r="E14">
        <v>161.72998046874989</v>
      </c>
      <c r="F14">
        <v>5.35</v>
      </c>
      <c r="G14" s="4" t="s">
        <v>417</v>
      </c>
      <c r="I14" t="b">
        <f t="shared" si="1"/>
        <v>0</v>
      </c>
      <c r="J14" t="str">
        <f t="shared" si="2"/>
        <v>3</v>
      </c>
      <c r="K14" t="b">
        <f t="shared" si="3"/>
        <v>0</v>
      </c>
      <c r="L14" t="b">
        <f t="shared" si="4"/>
        <v>0</v>
      </c>
    </row>
    <row r="15" spans="1:12" x14ac:dyDescent="0.2">
      <c r="A15" s="41" t="s">
        <v>226</v>
      </c>
      <c r="B15">
        <v>-680.54998779296875</v>
      </c>
      <c r="C15" s="41" t="s">
        <v>226</v>
      </c>
      <c r="D15">
        <v>217.8</v>
      </c>
      <c r="E15">
        <v>-462.74998779296874</v>
      </c>
      <c r="F15">
        <v>1.32</v>
      </c>
      <c r="G15" s="4" t="s">
        <v>418</v>
      </c>
      <c r="I15" t="b">
        <f t="shared" si="1"/>
        <v>0</v>
      </c>
      <c r="J15" t="str">
        <f t="shared" si="2"/>
        <v>-</v>
      </c>
      <c r="K15" t="b">
        <f t="shared" si="3"/>
        <v>1</v>
      </c>
      <c r="L15" t="b">
        <f t="shared" si="4"/>
        <v>1</v>
      </c>
    </row>
    <row r="16" spans="1:12" x14ac:dyDescent="0.2">
      <c r="A16" s="41" t="s">
        <v>238</v>
      </c>
      <c r="B16">
        <v>-573</v>
      </c>
      <c r="C16" s="41" t="s">
        <v>238</v>
      </c>
      <c r="D16">
        <v>0</v>
      </c>
      <c r="E16">
        <v>-573</v>
      </c>
      <c r="F16">
        <v>0</v>
      </c>
      <c r="G16" s="4" t="s">
        <v>166</v>
      </c>
      <c r="I16" t="b">
        <f t="shared" si="1"/>
        <v>0</v>
      </c>
      <c r="J16" t="str">
        <f t="shared" si="2"/>
        <v>-</v>
      </c>
      <c r="K16" t="b">
        <f t="shared" si="3"/>
        <v>1</v>
      </c>
      <c r="L16" t="b">
        <f t="shared" si="4"/>
        <v>1</v>
      </c>
    </row>
    <row r="17" spans="1:12" x14ac:dyDescent="0.2">
      <c r="A17" s="41" t="s">
        <v>218</v>
      </c>
      <c r="B17">
        <v>-428.42001342773438</v>
      </c>
      <c r="C17" s="41" t="s">
        <v>218</v>
      </c>
      <c r="D17">
        <v>75.900000000000006</v>
      </c>
      <c r="E17">
        <v>-352.5200134277344</v>
      </c>
      <c r="F17">
        <v>0.46</v>
      </c>
      <c r="G17" s="4" t="s">
        <v>419</v>
      </c>
      <c r="I17" t="b">
        <f t="shared" si="1"/>
        <v>0</v>
      </c>
      <c r="J17" t="str">
        <f t="shared" si="2"/>
        <v>-</v>
      </c>
      <c r="K17" t="b">
        <f t="shared" si="3"/>
        <v>1</v>
      </c>
      <c r="L17" t="b">
        <f t="shared" si="4"/>
        <v>1</v>
      </c>
    </row>
    <row r="18" spans="1:12" x14ac:dyDescent="0.2">
      <c r="A18" s="41" t="s">
        <v>233</v>
      </c>
      <c r="B18">
        <v>-422.77999877929688</v>
      </c>
      <c r="C18" s="41" t="s">
        <v>233</v>
      </c>
      <c r="D18">
        <v>376.2</v>
      </c>
      <c r="E18">
        <v>-46.579998779296886</v>
      </c>
      <c r="F18">
        <v>2.2799999999999998</v>
      </c>
      <c r="G18" s="4" t="s">
        <v>420</v>
      </c>
      <c r="I18" t="b">
        <f t="shared" si="1"/>
        <v>0</v>
      </c>
      <c r="J18" t="str">
        <f t="shared" si="2"/>
        <v>-</v>
      </c>
      <c r="K18" t="b">
        <f t="shared" si="3"/>
        <v>1</v>
      </c>
      <c r="L18" t="b">
        <f t="shared" si="4"/>
        <v>1</v>
      </c>
    </row>
    <row r="19" spans="1:12" x14ac:dyDescent="0.2">
      <c r="A19" s="41" t="s">
        <v>222</v>
      </c>
      <c r="B19">
        <v>-385.760009765625</v>
      </c>
      <c r="C19" s="41" t="s">
        <v>222</v>
      </c>
      <c r="D19">
        <v>108.9</v>
      </c>
      <c r="E19">
        <v>-276.86000976562502</v>
      </c>
      <c r="F19">
        <v>0.66</v>
      </c>
      <c r="G19" s="4" t="s">
        <v>421</v>
      </c>
      <c r="I19" t="b">
        <f t="shared" si="1"/>
        <v>0</v>
      </c>
      <c r="J19" t="str">
        <f t="shared" si="2"/>
        <v>-</v>
      </c>
      <c r="K19" t="b">
        <f t="shared" si="3"/>
        <v>1</v>
      </c>
      <c r="L19" t="b">
        <f t="shared" si="4"/>
        <v>1</v>
      </c>
    </row>
    <row r="20" spans="1:12" x14ac:dyDescent="0.2">
      <c r="A20" s="41" t="s">
        <v>219</v>
      </c>
      <c r="B20">
        <v>-336.82000732421875</v>
      </c>
      <c r="C20" s="41" t="s">
        <v>219</v>
      </c>
      <c r="D20">
        <v>415.8</v>
      </c>
      <c r="E20">
        <v>78.979992675781261</v>
      </c>
      <c r="F20">
        <v>2.52</v>
      </c>
      <c r="G20" s="4" t="s">
        <v>422</v>
      </c>
      <c r="I20" t="b">
        <f t="shared" si="1"/>
        <v>0</v>
      </c>
      <c r="J20" t="str">
        <f t="shared" si="2"/>
        <v>3</v>
      </c>
      <c r="K20" t="b">
        <f t="shared" si="3"/>
        <v>0</v>
      </c>
      <c r="L20" t="b">
        <f t="shared" si="4"/>
        <v>0</v>
      </c>
    </row>
    <row r="21" spans="1:12" x14ac:dyDescent="0.2">
      <c r="A21" s="41" t="s">
        <v>239</v>
      </c>
      <c r="B21">
        <v>-301.45001220703125</v>
      </c>
      <c r="C21" s="41" t="s">
        <v>239</v>
      </c>
      <c r="D21">
        <v>0</v>
      </c>
      <c r="E21">
        <v>-301.45001220703125</v>
      </c>
      <c r="F21">
        <v>0</v>
      </c>
      <c r="G21" s="4" t="s">
        <v>166</v>
      </c>
      <c r="I21" t="b">
        <f t="shared" si="1"/>
        <v>0</v>
      </c>
      <c r="J21" t="str">
        <f t="shared" si="2"/>
        <v>-</v>
      </c>
      <c r="K21" t="b">
        <f t="shared" si="3"/>
        <v>1</v>
      </c>
      <c r="L21" t="b">
        <f t="shared" si="4"/>
        <v>1</v>
      </c>
    </row>
    <row r="22" spans="1:12" x14ac:dyDescent="0.2">
      <c r="A22" s="41" t="s">
        <v>126</v>
      </c>
      <c r="B22">
        <v>-279.5</v>
      </c>
      <c r="C22" s="41" t="s">
        <v>126</v>
      </c>
      <c r="D22">
        <v>217.8</v>
      </c>
      <c r="E22">
        <v>-61.699999999999989</v>
      </c>
      <c r="F22">
        <v>1.32</v>
      </c>
      <c r="G22" s="4" t="s">
        <v>423</v>
      </c>
      <c r="I22" t="b">
        <f t="shared" si="1"/>
        <v>0</v>
      </c>
      <c r="J22" t="str">
        <f t="shared" si="2"/>
        <v>-</v>
      </c>
      <c r="K22" t="b">
        <f t="shared" si="3"/>
        <v>1</v>
      </c>
      <c r="L22" t="b">
        <f t="shared" si="4"/>
        <v>1</v>
      </c>
    </row>
    <row r="23" spans="1:12" x14ac:dyDescent="0.2">
      <c r="A23" s="41" t="s">
        <v>424</v>
      </c>
      <c r="B23">
        <v>-253.00999450683594</v>
      </c>
      <c r="C23" s="41" t="s">
        <v>424</v>
      </c>
      <c r="D23">
        <v>0</v>
      </c>
      <c r="E23">
        <v>-253.00999450683594</v>
      </c>
      <c r="F23">
        <v>0</v>
      </c>
      <c r="G23" s="4" t="s">
        <v>166</v>
      </c>
      <c r="I23" t="b">
        <f t="shared" si="1"/>
        <v>0</v>
      </c>
      <c r="J23" t="str">
        <f t="shared" si="2"/>
        <v>-</v>
      </c>
      <c r="K23" t="b">
        <f t="shared" si="3"/>
        <v>1</v>
      </c>
      <c r="L23" t="b">
        <f t="shared" si="4"/>
        <v>1</v>
      </c>
    </row>
    <row r="24" spans="1:12" x14ac:dyDescent="0.2">
      <c r="A24" s="41" t="s">
        <v>214</v>
      </c>
      <c r="B24">
        <v>-203.88999938964844</v>
      </c>
      <c r="C24" s="41" t="s">
        <v>214</v>
      </c>
      <c r="D24">
        <v>0</v>
      </c>
      <c r="E24">
        <v>-203.88999938964844</v>
      </c>
      <c r="F24">
        <v>0</v>
      </c>
      <c r="G24" s="4" t="s">
        <v>166</v>
      </c>
      <c r="I24" t="b">
        <f t="shared" si="1"/>
        <v>0</v>
      </c>
      <c r="J24" t="str">
        <f t="shared" si="2"/>
        <v>-</v>
      </c>
      <c r="K24" t="b">
        <f t="shared" si="3"/>
        <v>1</v>
      </c>
      <c r="L24" t="b">
        <f t="shared" si="4"/>
        <v>1</v>
      </c>
    </row>
    <row r="25" spans="1:12" x14ac:dyDescent="0.2">
      <c r="A25" s="41" t="s">
        <v>227</v>
      </c>
      <c r="B25">
        <v>-133.39999389648438</v>
      </c>
      <c r="C25" s="41" t="s">
        <v>227</v>
      </c>
      <c r="D25">
        <v>0</v>
      </c>
      <c r="E25">
        <v>-133.39999389648438</v>
      </c>
      <c r="F25">
        <v>0</v>
      </c>
      <c r="G25" s="4" t="s">
        <v>166</v>
      </c>
      <c r="I25" t="b">
        <f t="shared" si="1"/>
        <v>0</v>
      </c>
      <c r="J25" t="str">
        <f t="shared" si="2"/>
        <v>-</v>
      </c>
      <c r="K25" t="b">
        <f t="shared" si="3"/>
        <v>1</v>
      </c>
      <c r="L25" t="b">
        <f t="shared" si="4"/>
        <v>1</v>
      </c>
    </row>
    <row r="26" spans="1:12" x14ac:dyDescent="0.2">
      <c r="A26" s="41" t="s">
        <v>395</v>
      </c>
      <c r="B26">
        <v>-123.20999908447266</v>
      </c>
      <c r="C26" s="41" t="s">
        <v>395</v>
      </c>
      <c r="D26">
        <v>163.35</v>
      </c>
      <c r="E26">
        <v>40.140000915527338</v>
      </c>
      <c r="F26">
        <v>0.99</v>
      </c>
      <c r="G26" s="4" t="s">
        <v>425</v>
      </c>
      <c r="I26" t="b">
        <f t="shared" si="1"/>
        <v>0</v>
      </c>
      <c r="J26" t="str">
        <f t="shared" si="2"/>
        <v>4</v>
      </c>
      <c r="K26" t="b">
        <f t="shared" si="3"/>
        <v>0</v>
      </c>
      <c r="L26" t="b">
        <f t="shared" si="4"/>
        <v>0</v>
      </c>
    </row>
    <row r="27" spans="1:12" x14ac:dyDescent="0.2">
      <c r="A27" s="41" t="s">
        <v>225</v>
      </c>
      <c r="B27">
        <v>-120</v>
      </c>
      <c r="C27" s="41" t="s">
        <v>225</v>
      </c>
      <c r="D27">
        <v>217.8</v>
      </c>
      <c r="E27">
        <v>97.800000000000011</v>
      </c>
      <c r="F27">
        <v>1.32</v>
      </c>
      <c r="G27" s="4" t="s">
        <v>426</v>
      </c>
      <c r="I27" t="b">
        <f>ISBLANK(G33)</f>
        <v>0</v>
      </c>
      <c r="J27" t="str">
        <f>LEFT(G33,1)</f>
        <v>-</v>
      </c>
      <c r="K27" t="b">
        <f t="shared" si="3"/>
        <v>1</v>
      </c>
      <c r="L27" t="b">
        <f t="shared" si="4"/>
        <v>1</v>
      </c>
    </row>
    <row r="28" spans="1:12" x14ac:dyDescent="0.2">
      <c r="A28" s="41" t="s">
        <v>232</v>
      </c>
      <c r="B28">
        <v>-113.72000122070312</v>
      </c>
      <c r="C28" s="41" t="s">
        <v>232</v>
      </c>
      <c r="D28">
        <v>103.95</v>
      </c>
      <c r="E28">
        <v>-9.7700012207031222</v>
      </c>
      <c r="F28">
        <v>0.63</v>
      </c>
      <c r="G28" s="4" t="s">
        <v>427</v>
      </c>
      <c r="I28" t="b">
        <f>ISBLANK(G34)</f>
        <v>1</v>
      </c>
      <c r="J28" t="str">
        <f>LEFT(G34,1)</f>
        <v/>
      </c>
      <c r="K28" t="b">
        <f t="shared" si="3"/>
        <v>0</v>
      </c>
      <c r="L28" t="b">
        <f t="shared" si="4"/>
        <v>0</v>
      </c>
    </row>
    <row r="29" spans="1:12" x14ac:dyDescent="0.2">
      <c r="A29" s="41" t="s">
        <v>207</v>
      </c>
      <c r="B29">
        <v>-48.930000305175781</v>
      </c>
      <c r="C29" s="41" t="s">
        <v>207</v>
      </c>
      <c r="D29">
        <v>0</v>
      </c>
      <c r="E29">
        <v>-48.930000305175781</v>
      </c>
      <c r="F29">
        <v>0</v>
      </c>
      <c r="G29" s="4" t="s">
        <v>166</v>
      </c>
    </row>
    <row r="30" spans="1:12" x14ac:dyDescent="0.2">
      <c r="A30" s="41" t="s">
        <v>210</v>
      </c>
      <c r="B30">
        <v>-46.989997863769531</v>
      </c>
      <c r="C30" s="41" t="s">
        <v>210</v>
      </c>
      <c r="D30">
        <v>21.45</v>
      </c>
      <c r="E30">
        <v>-25.539997863769532</v>
      </c>
      <c r="F30">
        <v>0.13</v>
      </c>
      <c r="G30" s="4" t="s">
        <v>428</v>
      </c>
    </row>
    <row r="31" spans="1:12" x14ac:dyDescent="0.2">
      <c r="A31" s="41" t="s">
        <v>237</v>
      </c>
      <c r="B31">
        <v>-29</v>
      </c>
      <c r="C31" s="41" t="s">
        <v>237</v>
      </c>
      <c r="D31">
        <v>0</v>
      </c>
      <c r="E31">
        <v>-29</v>
      </c>
      <c r="F31">
        <v>0</v>
      </c>
      <c r="G31" s="4" t="s">
        <v>166</v>
      </c>
    </row>
    <row r="32" spans="1:12" x14ac:dyDescent="0.2">
      <c r="A32" s="41" t="s">
        <v>220</v>
      </c>
      <c r="B32">
        <v>-21.469999313354492</v>
      </c>
      <c r="C32" s="41" t="s">
        <v>220</v>
      </c>
      <c r="D32">
        <v>0</v>
      </c>
      <c r="E32">
        <v>-21.469999313354492</v>
      </c>
      <c r="F32">
        <v>0</v>
      </c>
      <c r="G32" s="4" t="s">
        <v>166</v>
      </c>
    </row>
    <row r="33" spans="1:7" x14ac:dyDescent="0.2">
      <c r="A33" s="41" t="s">
        <v>429</v>
      </c>
      <c r="B33">
        <v>2595.800048828125</v>
      </c>
      <c r="C33" s="41" t="s">
        <v>429</v>
      </c>
      <c r="D33">
        <v>0</v>
      </c>
      <c r="E33">
        <v>-2595.800048828125</v>
      </c>
      <c r="F33">
        <v>0</v>
      </c>
      <c r="G33" s="4" t="s">
        <v>166</v>
      </c>
    </row>
  </sheetData>
  <conditionalFormatting sqref="G1:G26">
    <cfRule type="expression" dxfId="11" priority="1">
      <formula>IF(ISBLANK(G1),FALSE,NOT(L1))</formula>
    </cfRule>
  </conditionalFormatting>
  <conditionalFormatting sqref="G27 G29">
    <cfRule type="expression" dxfId="9" priority="5">
      <formula>IF(ISBLANK(G27),FALSE,NOT(L26))</formula>
    </cfRule>
  </conditionalFormatting>
  <conditionalFormatting sqref="G28 G33">
    <cfRule type="expression" dxfId="7" priority="9">
      <formula>IF(ISBLANK(G28),FALSE,NOT(L25))</formula>
    </cfRule>
  </conditionalFormatting>
  <conditionalFormatting sqref="G30 G32">
    <cfRule type="expression" dxfId="5" priority="13">
      <formula>IF(ISBLANK(G30),FALSE,NOT(L26))</formula>
    </cfRule>
  </conditionalFormatting>
  <conditionalFormatting sqref="G31">
    <cfRule type="expression" dxfId="3" priority="17">
      <formula>IF(ISBLANK(G31),FALSE,NOT(L24))</formula>
    </cfRule>
  </conditionalFormatting>
  <conditionalFormatting sqref="G34:G1048576">
    <cfRule type="expression" dxfId="1" priority="23">
      <formula>IF(ISBLANK(G34),FALSE,NOT(L28))</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 G29</xm:sqref>
        </x14:conditionalFormatting>
        <x14:conditionalFormatting xmlns:xm="http://schemas.microsoft.com/office/excel/2006/main">
          <x14:cfRule type="containsText" priority="10" operator="containsText" id="{23CC6E98-CFBD-C748-93FA-BD21C8174061}">
            <xm:f>NOT(ISERROR(SEARCH("-",G28)))</xm:f>
            <xm:f>"-"</xm:f>
            <x14:dxf>
              <font>
                <color rgb="FF9C0006"/>
              </font>
              <fill>
                <patternFill>
                  <bgColor rgb="FFFFC7CE"/>
                </patternFill>
              </fill>
            </x14:dxf>
          </x14:cfRule>
          <xm:sqref>G28 G33</xm:sqref>
        </x14:conditionalFormatting>
        <x14:conditionalFormatting xmlns:xm="http://schemas.microsoft.com/office/excel/2006/main">
          <x14:cfRule type="containsText" priority="14" operator="containsText" id="{23CC6E98-CFBD-C748-93FA-BD21C8174061}">
            <xm:f>NOT(ISERROR(SEARCH("-",G30)))</xm:f>
            <xm:f>"-"</xm:f>
            <x14:dxf>
              <font>
                <color rgb="FF9C0006"/>
              </font>
              <fill>
                <patternFill>
                  <bgColor rgb="FFFFC7CE"/>
                </patternFill>
              </fill>
            </x14:dxf>
          </x14:cfRule>
          <xm:sqref>G30 G32</xm:sqref>
        </x14:conditionalFormatting>
        <x14:conditionalFormatting xmlns:xm="http://schemas.microsoft.com/office/excel/2006/main">
          <x14:cfRule type="containsText" priority="18" operator="containsText" id="{23CC6E98-CFBD-C748-93FA-BD21C8174061}">
            <xm:f>NOT(ISERROR(SEARCH("-",G31)))</xm:f>
            <xm:f>"-"</xm:f>
            <x14:dxf>
              <font>
                <color rgb="FF9C0006"/>
              </font>
              <fill>
                <patternFill>
                  <bgColor rgb="FFFFC7CE"/>
                </patternFill>
              </fill>
            </x14:dxf>
          </x14:cfRule>
          <xm:sqref>G31</xm:sqref>
        </x14:conditionalFormatting>
        <x14:conditionalFormatting xmlns:xm="http://schemas.microsoft.com/office/excel/2006/main">
          <x14:cfRule type="containsText" priority="24" operator="containsText" id="{23CC6E98-CFBD-C748-93FA-BD21C8174061}">
            <xm:f>NOT(ISERROR(SEARCH("-",G34)))</xm:f>
            <xm:f>"-"</xm:f>
            <x14:dxf>
              <font>
                <color rgb="FF9C0006"/>
              </font>
              <fill>
                <patternFill>
                  <bgColor rgb="FFFFC7CE"/>
                </patternFill>
              </fill>
            </x14:dxf>
          </x14:cfRule>
          <xm:sqref>G34:G1048576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D24" sqref="D24"/>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s="41" t="s">
        <v>223</v>
      </c>
      <c r="B2">
        <v>-989.6400146484375</v>
      </c>
      <c r="C2" s="9">
        <f t="shared" ref="C2:C22" si="0">IF(B2&lt;0,B2,0)</f>
        <v>-989.6400146484375</v>
      </c>
      <c r="D2" s="10" t="e">
        <f>C2/$C$32*100</f>
        <v>#REF!</v>
      </c>
    </row>
    <row r="3" spans="1:4" x14ac:dyDescent="0.2">
      <c r="A3" s="41" t="s">
        <v>217</v>
      </c>
      <c r="B3">
        <v>-883.760009765625</v>
      </c>
      <c r="C3" s="9">
        <f t="shared" si="0"/>
        <v>-883.760009765625</v>
      </c>
      <c r="D3" s="10" t="e">
        <f t="shared" ref="D3:D31" si="1">C3/$C$32*100</f>
        <v>#REF!</v>
      </c>
    </row>
    <row r="4" spans="1:4" x14ac:dyDescent="0.2">
      <c r="A4" s="41" t="s">
        <v>216</v>
      </c>
      <c r="B4">
        <v>-394.91998291015625</v>
      </c>
      <c r="C4" s="9">
        <f t="shared" si="0"/>
        <v>-394.91998291015625</v>
      </c>
      <c r="D4" s="10" t="e">
        <f>C4/$C$32*100</f>
        <v>#REF!</v>
      </c>
    </row>
    <row r="5" spans="1:4" x14ac:dyDescent="0.2">
      <c r="A5" s="41" t="s">
        <v>206</v>
      </c>
      <c r="B5">
        <v>-389.57998657226562</v>
      </c>
      <c r="C5" s="9">
        <f t="shared" si="0"/>
        <v>-389.57998657226562</v>
      </c>
      <c r="D5" s="10" t="e">
        <f t="shared" si="1"/>
        <v>#REF!</v>
      </c>
    </row>
    <row r="6" spans="1:4" x14ac:dyDescent="0.2">
      <c r="A6" s="41" t="s">
        <v>205</v>
      </c>
      <c r="B6">
        <v>-386.95001220703125</v>
      </c>
      <c r="C6" s="9">
        <f t="shared" si="0"/>
        <v>-386.95001220703125</v>
      </c>
      <c r="D6" s="10" t="e">
        <f t="shared" si="1"/>
        <v>#REF!</v>
      </c>
    </row>
    <row r="7" spans="1:4" x14ac:dyDescent="0.2">
      <c r="A7" s="41" t="s">
        <v>218</v>
      </c>
      <c r="B7">
        <v>-373.05999755859375</v>
      </c>
      <c r="C7" s="9">
        <f t="shared" si="0"/>
        <v>-373.05999755859375</v>
      </c>
      <c r="D7" s="10" t="e">
        <f t="shared" si="1"/>
        <v>#REF!</v>
      </c>
    </row>
    <row r="8" spans="1:4" x14ac:dyDescent="0.2">
      <c r="A8" s="41" t="s">
        <v>235</v>
      </c>
      <c r="B8">
        <v>-248.91999816894531</v>
      </c>
      <c r="C8" s="9">
        <f t="shared" si="0"/>
        <v>-248.91999816894531</v>
      </c>
      <c r="D8" s="10" t="e">
        <f t="shared" si="1"/>
        <v>#REF!</v>
      </c>
    </row>
    <row r="9" spans="1:4" x14ac:dyDescent="0.2">
      <c r="A9" s="41" t="s">
        <v>221</v>
      </c>
      <c r="B9">
        <v>-185</v>
      </c>
      <c r="C9" s="9">
        <f t="shared" si="0"/>
        <v>-185</v>
      </c>
      <c r="D9" s="10" t="e">
        <f t="shared" si="1"/>
        <v>#REF!</v>
      </c>
    </row>
    <row r="10" spans="1:4" x14ac:dyDescent="0.2">
      <c r="A10" s="41" t="s">
        <v>230</v>
      </c>
      <c r="B10">
        <v>-174</v>
      </c>
      <c r="C10" s="9">
        <f t="shared" si="0"/>
        <v>-174</v>
      </c>
      <c r="D10" s="10" t="e">
        <f t="shared" si="1"/>
        <v>#REF!</v>
      </c>
    </row>
    <row r="11" spans="1:4" x14ac:dyDescent="0.2">
      <c r="A11" s="41" t="s">
        <v>215</v>
      </c>
      <c r="B11">
        <v>-162.83000183105469</v>
      </c>
      <c r="C11" s="9">
        <f t="shared" si="0"/>
        <v>-162.83000183105469</v>
      </c>
      <c r="D11" s="10" t="e">
        <f t="shared" si="1"/>
        <v>#REF!</v>
      </c>
    </row>
    <row r="12" spans="1:4" x14ac:dyDescent="0.2">
      <c r="A12" s="41" t="s">
        <v>211</v>
      </c>
      <c r="B12">
        <v>-115.44999694824219</v>
      </c>
      <c r="C12" s="9">
        <f t="shared" si="0"/>
        <v>-115.44999694824219</v>
      </c>
      <c r="D12" s="10" t="e">
        <f t="shared" si="1"/>
        <v>#REF!</v>
      </c>
    </row>
    <row r="13" spans="1:4" x14ac:dyDescent="0.2">
      <c r="A13" s="41" t="s">
        <v>226</v>
      </c>
      <c r="B13">
        <v>-77.790000915527344</v>
      </c>
      <c r="C13" s="9">
        <f t="shared" si="0"/>
        <v>-77.790000915527344</v>
      </c>
      <c r="D13" s="10" t="e">
        <f t="shared" si="1"/>
        <v>#REF!</v>
      </c>
    </row>
    <row r="14" spans="1:4" x14ac:dyDescent="0.2">
      <c r="A14" s="41" t="s">
        <v>233</v>
      </c>
      <c r="B14">
        <v>-74.790000915527344</v>
      </c>
      <c r="C14" s="9">
        <f t="shared" si="0"/>
        <v>-74.790000915527344</v>
      </c>
      <c r="D14" s="10" t="e">
        <f t="shared" si="1"/>
        <v>#REF!</v>
      </c>
    </row>
    <row r="15" spans="1:4" x14ac:dyDescent="0.2">
      <c r="A15" s="41" t="s">
        <v>219</v>
      </c>
      <c r="B15">
        <v>-59.090000152587891</v>
      </c>
      <c r="C15" s="9">
        <f t="shared" si="0"/>
        <v>-59.090000152587891</v>
      </c>
      <c r="D15" s="10" t="e">
        <f t="shared" si="1"/>
        <v>#REF!</v>
      </c>
    </row>
    <row r="16" spans="1:4" x14ac:dyDescent="0.2">
      <c r="A16" s="41" t="s">
        <v>208</v>
      </c>
      <c r="B16">
        <v>-42.830001831054688</v>
      </c>
      <c r="C16" s="9">
        <f t="shared" si="0"/>
        <v>-42.830001831054688</v>
      </c>
      <c r="D16" s="10" t="e">
        <f t="shared" si="1"/>
        <v>#REF!</v>
      </c>
    </row>
    <row r="17" spans="1:4" x14ac:dyDescent="0.2">
      <c r="A17" s="41" t="s">
        <v>225</v>
      </c>
      <c r="B17">
        <v>-40</v>
      </c>
      <c r="C17" s="9">
        <f t="shared" si="0"/>
        <v>-40</v>
      </c>
      <c r="D17" s="10" t="e">
        <f t="shared" si="1"/>
        <v>#REF!</v>
      </c>
    </row>
    <row r="18" spans="1:4" x14ac:dyDescent="0.2">
      <c r="A18" s="41" t="s">
        <v>395</v>
      </c>
      <c r="B18">
        <v>-27</v>
      </c>
      <c r="C18" s="9">
        <f t="shared" si="0"/>
        <v>-27</v>
      </c>
      <c r="D18" s="10" t="e">
        <f t="shared" si="1"/>
        <v>#REF!</v>
      </c>
    </row>
    <row r="19" spans="1:4" x14ac:dyDescent="0.2">
      <c r="A19" s="41" t="s">
        <v>232</v>
      </c>
      <c r="B19">
        <v>-5.5900001525878906</v>
      </c>
      <c r="C19" s="9">
        <f t="shared" si="0"/>
        <v>-5.5900001525878906</v>
      </c>
      <c r="D19" s="10" t="e">
        <f t="shared" si="1"/>
        <v>#REF!</v>
      </c>
    </row>
    <row r="20" spans="1:4" x14ac:dyDescent="0.2">
      <c r="A20" s="41" t="s">
        <v>337</v>
      </c>
      <c r="B20">
        <v>-3.4300003051757812</v>
      </c>
      <c r="C20" s="9">
        <f t="shared" si="0"/>
        <v>-3.4300003051757812</v>
      </c>
      <c r="D20" s="10" t="e">
        <f t="shared" si="1"/>
        <v>#REF!</v>
      </c>
    </row>
    <row r="21" spans="1:4" x14ac:dyDescent="0.2">
      <c r="A21" s="41" t="s">
        <v>238</v>
      </c>
      <c r="B21">
        <v>-2.3599998950958252</v>
      </c>
      <c r="C21" s="9">
        <f t="shared" si="0"/>
        <v>-2.3599998950958252</v>
      </c>
      <c r="D21" s="10" t="e">
        <f t="shared" si="1"/>
        <v>#REF!</v>
      </c>
    </row>
    <row r="22" spans="1:4" x14ac:dyDescent="0.2">
      <c r="A22" s="41" t="s">
        <v>229</v>
      </c>
      <c r="B22">
        <v>0</v>
      </c>
      <c r="C22" s="9">
        <f t="shared" si="0"/>
        <v>0</v>
      </c>
      <c r="D22" s="10" t="e">
        <f t="shared" si="1"/>
        <v>#REF!</v>
      </c>
    </row>
    <row r="23" spans="1:4" x14ac:dyDescent="0.2">
      <c r="A23" s="41" t="s">
        <v>126</v>
      </c>
      <c r="B23">
        <v>3.5</v>
      </c>
      <c r="C23" s="9" t="e">
        <f>IF(#REF!&lt;0,#REF!,0)</f>
        <v>#REF!</v>
      </c>
      <c r="D23" s="10" t="e">
        <f t="shared" si="1"/>
        <v>#REF!</v>
      </c>
    </row>
    <row r="24" spans="1:4" x14ac:dyDescent="0.2">
      <c r="C24" s="9">
        <f>IF(B23&lt;0,B23,0)</f>
        <v>0</v>
      </c>
      <c r="D24" s="10" t="e">
        <f t="shared" si="1"/>
        <v>#REF!</v>
      </c>
    </row>
    <row r="25" spans="1:4" x14ac:dyDescent="0.2">
      <c r="C25" s="9">
        <f>IF(B26&lt;0,B26,0)</f>
        <v>0</v>
      </c>
      <c r="D25" s="10" t="e">
        <f t="shared" si="1"/>
        <v>#REF!</v>
      </c>
    </row>
    <row r="26" spans="1:4" x14ac:dyDescent="0.2">
      <c r="C26" s="9">
        <f>IF(B27&lt;0,B27,0)</f>
        <v>0</v>
      </c>
      <c r="D26" s="10" t="e">
        <f t="shared" si="1"/>
        <v>#REF!</v>
      </c>
    </row>
    <row r="27" spans="1:4" x14ac:dyDescent="0.2">
      <c r="C27" s="9">
        <f>IF(B28&lt;0,B28,0)</f>
        <v>0</v>
      </c>
      <c r="D27" s="10" t="e">
        <f t="shared" si="1"/>
        <v>#REF!</v>
      </c>
    </row>
    <row r="28" spans="1:4" x14ac:dyDescent="0.2">
      <c r="C28" s="9">
        <f>IF(B29&lt;0,B29,0)</f>
        <v>0</v>
      </c>
      <c r="D28" s="10" t="e">
        <f t="shared" si="1"/>
        <v>#REF!</v>
      </c>
    </row>
    <row r="29" spans="1:4" x14ac:dyDescent="0.2">
      <c r="C29" s="9">
        <f>IF(B30&lt;0,B30,0)</f>
        <v>0</v>
      </c>
      <c r="D29" s="10" t="e">
        <f t="shared" si="1"/>
        <v>#REF!</v>
      </c>
    </row>
    <row r="30" spans="1:4" x14ac:dyDescent="0.2">
      <c r="C30" s="9">
        <f>IF(B31&lt;0,B31,0)</f>
        <v>0</v>
      </c>
      <c r="D30" s="10" t="e">
        <f t="shared" si="1"/>
        <v>#REF!</v>
      </c>
    </row>
    <row r="31" spans="1:4" x14ac:dyDescent="0.2">
      <c r="C31" s="9">
        <f>IF(B32&lt;0,B32,0)</f>
        <v>0</v>
      </c>
      <c r="D31" s="10" t="e">
        <f t="shared" si="1"/>
        <v>#REF!</v>
      </c>
    </row>
    <row r="32" spans="1:4" x14ac:dyDescent="0.2">
      <c r="C32" t="e">
        <f>SUM(C2:C31)</f>
        <v>#REF!</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selection activeCell="AD25" sqref="AD25"/>
    </sheetView>
  </sheetViews>
  <sheetFormatPr baseColWidth="10" defaultRowHeight="16" x14ac:dyDescent="0.2"/>
  <cols>
    <col min="1" max="1" width="21.33203125" customWidth="1"/>
  </cols>
  <sheetData>
    <row r="1" spans="1:24" x14ac:dyDescent="0.2">
      <c r="A1"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f>[1]TruckNumbers!K1</f>
        <v>0</v>
      </c>
      <c r="L1" s="31" t="str">
        <f>[1]TruckNumbers!L1</f>
        <v xml:space="preserve">Starting mileage </v>
      </c>
      <c r="M1" t="str">
        <f>[1]TruckNumbers!M1</f>
        <v>Trip time calc (Hours)</v>
      </c>
      <c r="N1" t="str">
        <f>[1]TruckNumbers!N1</f>
        <v>Avg. m/h</v>
      </c>
      <c r="O1" s="4" t="str">
        <f>[1]TruckNumbers!O1</f>
        <v>Cost of Trip</v>
      </c>
      <c r="P1" s="28"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t="str">
        <f>[1]TruckNumbers!K2</f>
        <v>:</v>
      </c>
      <c r="L2" s="31">
        <f>[1]TruckNumbers!L2</f>
        <v>0</v>
      </c>
      <c r="M2">
        <f>[1]TruckNumbers!M2</f>
        <v>0</v>
      </c>
      <c r="N2">
        <f>[1]TruckNumbers!N2</f>
        <v>0</v>
      </c>
      <c r="O2" s="4">
        <f>[1]TruckNumbers!O2</f>
        <v>0</v>
      </c>
      <c r="P2" s="28">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f>[1]TruckNumbers!M3</f>
        <v>0</v>
      </c>
      <c r="N3">
        <f>[1]TruckNumbers!N3</f>
        <v>0</v>
      </c>
      <c r="O3" s="4">
        <f>[1]TruckNumbers!O3</f>
        <v>0</v>
      </c>
      <c r="P3" s="28">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f>[1]TruckNumbers!M4</f>
        <v>0</v>
      </c>
      <c r="N4">
        <f>[1]TruckNumbers!N4</f>
        <v>0</v>
      </c>
      <c r="O4" s="4">
        <f>[1]TruckNumbers!O4</f>
        <v>0</v>
      </c>
      <c r="P4" s="28">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f>[1]TruckNumbers!M5</f>
        <v>0</v>
      </c>
      <c r="N5">
        <f>[1]TruckNumbers!N5</f>
        <v>0</v>
      </c>
      <c r="O5" s="4">
        <f>[1]TruckNumbers!O5</f>
        <v>0</v>
      </c>
      <c r="P5" s="28">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f>[1]TruckNumbers!M9</f>
        <v>0</v>
      </c>
      <c r="N6">
        <f>[1]TruckNumbers!N9</f>
        <v>0</v>
      </c>
      <c r="O6" s="4">
        <f>[1]TruckNumbers!O9</f>
        <v>0</v>
      </c>
      <c r="P6" s="28"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13">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f>[1]TruckNumbers!M10</f>
        <v>0</v>
      </c>
      <c r="N7">
        <f>[1]TruckNumbers!N10</f>
        <v>0</v>
      </c>
      <c r="O7" s="4">
        <f>[1]TruckNumbers!O10</f>
        <v>0</v>
      </c>
      <c r="P7" s="28">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13">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f>[1]TruckNumbers!M11</f>
        <v>0</v>
      </c>
      <c r="N8">
        <f>[1]TruckNumbers!N11</f>
        <v>0</v>
      </c>
      <c r="O8" s="4">
        <f>[1]TruckNumbers!O11</f>
        <v>0</v>
      </c>
      <c r="P8" s="28">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13">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f>[1]TruckNumbers!M12</f>
        <v>27.89972222222222</v>
      </c>
      <c r="N9">
        <f>[1]TruckNumbers!N12</f>
        <v>0</v>
      </c>
      <c r="O9" s="4">
        <f>[1]TruckNumbers!O12</f>
        <v>0</v>
      </c>
      <c r="P9" s="28">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13">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f>[1]TruckNumbers!M13</f>
        <v>0</v>
      </c>
      <c r="N10" t="e">
        <f>[1]TruckNumbers!N13</f>
        <v>#DIV/0!</v>
      </c>
      <c r="O10" s="4">
        <f>[1]TruckNumbers!O13</f>
        <v>0</v>
      </c>
      <c r="P10" s="28"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13">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f>[1]TruckNumbers!M14</f>
        <v>0.26611111111111108</v>
      </c>
      <c r="N11">
        <f>[1]TruckNumbers!N14</f>
        <v>0</v>
      </c>
      <c r="O11" s="4">
        <f>[1]TruckNumbers!O14</f>
        <v>0</v>
      </c>
      <c r="P11" s="28"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34">
        <f>[1]TruckNumbers!A15</f>
        <v>45797.617361111108</v>
      </c>
      <c r="B12">
        <f>[1]TruckNumbers!B15</f>
        <v>0</v>
      </c>
      <c r="C12" s="29">
        <f>[1]TruckNumbers!C15</f>
        <v>0</v>
      </c>
      <c r="D12" s="4">
        <f>[1]TruckNumbers!E15</f>
        <v>19.2</v>
      </c>
      <c r="E12" s="30">
        <f>[1]TruckNumbers!D15</f>
        <v>0</v>
      </c>
      <c r="F12" s="4">
        <f>[1]TruckNumbers!G15</f>
        <v>63.300000000001091</v>
      </c>
      <c r="G12" s="35">
        <f>[1]TruckNumbers!H15</f>
        <v>0.4375</v>
      </c>
      <c r="H12" s="4">
        <f>[1]TruckNumbers!I15</f>
        <v>11656.7</v>
      </c>
      <c r="I12" s="4">
        <f>[1]TruckNumbers!F15</f>
        <v>7.3831018518518518E-2</v>
      </c>
      <c r="J12" s="4">
        <f>[1]TruckNumbers!J15</f>
        <v>0</v>
      </c>
      <c r="K12" s="4">
        <f>[1]TruckNumbers!K15</f>
        <v>0</v>
      </c>
      <c r="L12" s="31">
        <f>[1]TruckNumbers!L15</f>
        <v>0</v>
      </c>
      <c r="M12">
        <f>[1]TruckNumbers!M15</f>
        <v>1.5058333333333334</v>
      </c>
      <c r="N12">
        <f>[1]TruckNumbers!N15</f>
        <v>42.036524626453406</v>
      </c>
      <c r="O12" s="4">
        <f>[1]TruckNumbers!O15</f>
        <v>0</v>
      </c>
      <c r="P12" s="28">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34" t="str">
        <f>[1]TruckNumbers!A16</f>
        <v>5/21/25 at 9:43 AM</v>
      </c>
      <c r="B13">
        <f>[1]TruckNumbers!B16</f>
        <v>0</v>
      </c>
      <c r="C13" s="29">
        <f>[1]TruckNumbers!C16</f>
        <v>0</v>
      </c>
      <c r="D13" s="4">
        <f>[1]TruckNumbers!E16</f>
        <v>19.8</v>
      </c>
      <c r="E13" s="30">
        <f>[1]TruckNumbers!D16</f>
        <v>0</v>
      </c>
      <c r="F13" s="4">
        <f>[1]TruckNumbers!G16</f>
        <v>21.299999999999272</v>
      </c>
      <c r="G13" s="36">
        <f>[1]TruckNumbers!H16</f>
        <v>0.375</v>
      </c>
      <c r="H13" s="4">
        <f>[1]TruckNumbers!I16</f>
        <v>11678</v>
      </c>
      <c r="I13" s="4">
        <f>[1]TruckNumbers!F16</f>
        <v>3.1770833333333331E-2</v>
      </c>
      <c r="J13" s="4">
        <f>[1]TruckNumbers!J16</f>
        <v>0</v>
      </c>
      <c r="K13" s="4">
        <f>[1]TruckNumbers!K16</f>
        <v>0</v>
      </c>
      <c r="L13" s="31">
        <f>[1]TruckNumbers!L16</f>
        <v>0</v>
      </c>
      <c r="M13">
        <f>[1]TruckNumbers!M16</f>
        <v>0.76249999999999996</v>
      </c>
      <c r="N13">
        <f>[1]TruckNumbers!N16</f>
        <v>27.934426229507245</v>
      </c>
      <c r="O13" s="4">
        <f>[1]TruckNumbers!O16</f>
        <v>0</v>
      </c>
      <c r="P13" s="28">
        <f>[1]TruckNumbers!P16</f>
        <v>0</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v>
      </c>
      <c r="L14" s="31">
        <f>[1]TruckNumbers!L17</f>
        <v>0</v>
      </c>
      <c r="M14">
        <f>[1]TruckNumbers!M17</f>
        <v>0.27972222222222221</v>
      </c>
      <c r="N14">
        <f>[1]TruckNumbers!N17</f>
        <v>43.257199602781839</v>
      </c>
      <c r="O14" s="4">
        <f>[1]TruckNumbers!O17</f>
        <v>0</v>
      </c>
      <c r="P14" s="28">
        <f>[1]TruckNumbers!P17</f>
        <v>0</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34">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0</v>
      </c>
      <c r="L15" s="31">
        <f>[1]TruckNumbers!L18</f>
        <v>0</v>
      </c>
      <c r="M15">
        <f>[1]TruckNumbers!M18</f>
        <v>0.89916666666666667</v>
      </c>
      <c r="N15">
        <f>[1]TruckNumbers!N18</f>
        <v>17.683039851714145</v>
      </c>
      <c r="O15" s="4">
        <f>[1]TruckNumbers!O18</f>
        <v>0</v>
      </c>
      <c r="P15" s="28">
        <f>[1]TruckNumbers!P18</f>
        <v>0</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13">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v>
      </c>
      <c r="L16" s="31">
        <f>[1]TruckNumbers!L19</f>
        <v>0</v>
      </c>
      <c r="M16">
        <f>[1]TruckNumbers!M19</f>
        <v>0.22305555555555551</v>
      </c>
      <c r="N16">
        <f>[1]TruckNumbers!N19</f>
        <v>15.691158156911586</v>
      </c>
      <c r="O16" s="4">
        <f>[1]TruckNumbers!O19</f>
        <v>0</v>
      </c>
      <c r="P16" s="28">
        <f>[1]TruckNumbers!P19</f>
        <v>0</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34">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f>[1]TruckNumbers!M20</f>
        <v>1.1222222222222222</v>
      </c>
      <c r="N17">
        <f>[1]TruckNumbers!N20</f>
        <v>0</v>
      </c>
      <c r="O17" s="4">
        <f>[1]TruckNumbers!O20</f>
        <v>0</v>
      </c>
      <c r="P17" s="28"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34">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0</v>
      </c>
      <c r="L18" s="31">
        <f>[1]TruckNumbers!L21</f>
        <v>0</v>
      </c>
      <c r="M18">
        <f>[1]TruckNumbers!M21</f>
        <v>2.3049999999999997</v>
      </c>
      <c r="N18">
        <f>[1]TruckNumbers!N21</f>
        <v>55.791757049891544</v>
      </c>
      <c r="O18" s="4">
        <f>[1]TruckNumbers!O21</f>
        <v>0</v>
      </c>
      <c r="P18" s="28">
        <f>[1]TruckNumbers!P21</f>
        <v>0</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0</v>
      </c>
      <c r="L19" s="31">
        <f>[1]TruckNumbers!L22</f>
        <v>0</v>
      </c>
      <c r="M19">
        <f>[1]TruckNumbers!M22</f>
        <v>2.5544444444444445</v>
      </c>
      <c r="N19">
        <f>[1]TruckNumbers!N22</f>
        <v>45.528490648107869</v>
      </c>
      <c r="O19" s="4">
        <f>[1]TruckNumbers!O22</f>
        <v>0</v>
      </c>
      <c r="P19" s="28">
        <f>[1]TruckNumbers!P22</f>
        <v>0</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v>
      </c>
      <c r="L20" s="31">
        <f>[1]TruckNumbers!L23</f>
        <v>0</v>
      </c>
      <c r="M20">
        <f>[1]TruckNumbers!M23</f>
        <v>0.25</v>
      </c>
      <c r="N20">
        <f>[1]TruckNumbers!N23</f>
        <v>2.8</v>
      </c>
      <c r="O20" s="4">
        <f>[1]TruckNumbers!O23</f>
        <v>0</v>
      </c>
      <c r="P20" s="28">
        <f>[1]TruckNumbers!P23</f>
        <v>0</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0</v>
      </c>
      <c r="L21" s="31">
        <f>[1]TruckNumbers!L24</f>
        <v>0.7</v>
      </c>
      <c r="M21">
        <f>[1]TruckNumbers!M24</f>
        <v>0.38388888888888884</v>
      </c>
      <c r="N21">
        <f>[1]TruckNumbers!N24</f>
        <v>69.811866859623748</v>
      </c>
      <c r="O21" s="4">
        <f>[1]TruckNumbers!O24</f>
        <v>0</v>
      </c>
      <c r="P21" s="28">
        <f>[1]TruckNumbers!P24</f>
        <v>0</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0</v>
      </c>
      <c r="L22" s="31">
        <f>[1]TruckNumbers!L25</f>
        <v>0</v>
      </c>
      <c r="M22">
        <f>[1]TruckNumbers!M25</f>
        <v>0.29500000000000004</v>
      </c>
      <c r="N22">
        <f>[1]TruckNumbers!N25</f>
        <v>45.084745762711862</v>
      </c>
      <c r="O22" s="4">
        <f>[1]TruckNumbers!O25</f>
        <v>0</v>
      </c>
      <c r="P22" s="28">
        <f>[1]TruckNumbers!P25</f>
        <v>0</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v>
      </c>
      <c r="L23" s="31">
        <f>[1]TruckNumbers!L26</f>
        <v>0</v>
      </c>
      <c r="M23">
        <f>[1]TruckNumbers!M26</f>
        <v>0.50722222222222224</v>
      </c>
      <c r="N23">
        <f>[1]TruckNumbers!N26</f>
        <v>23.65826944140197</v>
      </c>
      <c r="O23" s="4">
        <f>[1]TruckNumbers!O26</f>
        <v>0</v>
      </c>
      <c r="P23" s="28">
        <f>[1]TruckNumbers!P26</f>
        <v>0</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0</v>
      </c>
      <c r="L24" s="31">
        <f>[1]TruckNumbers!L27</f>
        <v>12</v>
      </c>
      <c r="M24">
        <f>[1]TruckNumbers!M27</f>
        <v>1.8788888888888891</v>
      </c>
      <c r="N24">
        <f>[1]TruckNumbers!N27</f>
        <v>36.777054997043166</v>
      </c>
      <c r="O24" s="4">
        <f>[1]TruckNumbers!O27</f>
        <v>0</v>
      </c>
      <c r="P24" s="28">
        <f>[1]TruckNumbers!P27</f>
        <v>0</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0</v>
      </c>
      <c r="L25" s="31">
        <f>[1]TruckNumbers!L28</f>
        <v>69.099999999999994</v>
      </c>
      <c r="M25">
        <f>[1]TruckNumbers!M28</f>
        <v>3.25</v>
      </c>
      <c r="N25">
        <f>[1]TruckNumbers!N28</f>
        <v>36.523076923076921</v>
      </c>
      <c r="O25" s="4">
        <f>[1]TruckNumbers!O28</f>
        <v>0</v>
      </c>
      <c r="P25" s="28">
        <f>[1]TruckNumbers!P28</f>
        <v>0</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v>
      </c>
      <c r="L26" s="31">
        <f>[1]TruckNumbers!L29</f>
        <v>0</v>
      </c>
      <c r="M26">
        <f>[1]TruckNumbers!M29</f>
        <v>0.2286111111111111</v>
      </c>
      <c r="N26">
        <f>[1]TruckNumbers!N29</f>
        <v>20.121506682867558</v>
      </c>
      <c r="O26" s="4">
        <f>[1]TruckNumbers!O29</f>
        <v>0</v>
      </c>
      <c r="P26" s="28">
        <f>[1]TruckNumbers!P29</f>
        <v>0</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0</v>
      </c>
      <c r="L27" s="31">
        <f>[1]TruckNumbers!L30</f>
        <v>4.5999999999999996</v>
      </c>
      <c r="M27">
        <f>[1]TruckNumbers!M30</f>
        <v>0.46416666666666662</v>
      </c>
      <c r="N27">
        <f>[1]TruckNumbers!N30</f>
        <v>41.364452423698388</v>
      </c>
      <c r="O27" s="4">
        <f>[1]TruckNumbers!O30</f>
        <v>0</v>
      </c>
      <c r="P27" s="28">
        <f>[1]TruckNumbers!P30</f>
        <v>0</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0</v>
      </c>
      <c r="L28" s="31">
        <f>[1]TruckNumbers!L31</f>
        <v>19.2</v>
      </c>
      <c r="M28">
        <f>[1]TruckNumbers!M31</f>
        <v>0.29694444444444451</v>
      </c>
      <c r="N28">
        <f>[1]TruckNumbers!N31</f>
        <v>102.71281571562206</v>
      </c>
      <c r="O28" s="4">
        <f>[1]TruckNumbers!O31</f>
        <v>0</v>
      </c>
      <c r="P28" s="28">
        <f>[1]TruckNumbers!P31</f>
        <v>0</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0</v>
      </c>
      <c r="L29" s="31">
        <f>[1]TruckNumbers!L32</f>
        <v>0</v>
      </c>
      <c r="M29">
        <f>[1]TruckNumbers!M32</f>
        <v>0.20138888888888878</v>
      </c>
      <c r="N29">
        <f>[1]TruckNumbers!N32</f>
        <v>144.00000000000009</v>
      </c>
      <c r="O29" s="4">
        <f>[1]TruckNumbers!O32</f>
        <v>0</v>
      </c>
      <c r="P29" s="28">
        <f>[1]TruckNumbers!P32</f>
        <v>0</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v>
      </c>
      <c r="L30" s="31">
        <f>[1]TruckNumbers!L33</f>
        <v>0</v>
      </c>
      <c r="M30">
        <f>[1]TruckNumbers!M33</f>
        <v>0.20527777777777778</v>
      </c>
      <c r="N30">
        <f>[1]TruckNumbers!N33</f>
        <v>18.998646820027062</v>
      </c>
      <c r="O30" s="4">
        <f>[1]TruckNumbers!O33</f>
        <v>0</v>
      </c>
      <c r="P30" s="28">
        <f>[1]TruckNumbers!P33</f>
        <v>0</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v>
      </c>
      <c r="L31" s="31">
        <f>[1]TruckNumbers!L34</f>
        <v>3.9</v>
      </c>
      <c r="M31">
        <f>[1]TruckNumbers!M34</f>
        <v>0.18944444444444442</v>
      </c>
      <c r="N31">
        <f>[1]TruckNumbers!N34</f>
        <v>41.700879765395904</v>
      </c>
      <c r="O31" s="4">
        <f>[1]TruckNumbers!O34</f>
        <v>0</v>
      </c>
      <c r="P31" s="28">
        <f>[1]TruckNumbers!P34</f>
        <v>0</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v>
      </c>
      <c r="L32" s="31">
        <f>[1]TruckNumbers!L35</f>
        <v>0</v>
      </c>
      <c r="M32">
        <f>[1]TruckNumbers!M35</f>
        <v>0.27111111111111108</v>
      </c>
      <c r="N32">
        <f>[1]TruckNumbers!N35</f>
        <v>20.655737704918035</v>
      </c>
      <c r="O32" s="4">
        <f>[1]TruckNumbers!O35</f>
        <v>0</v>
      </c>
      <c r="P32" s="28">
        <f>[1]TruckNumbers!P35</f>
        <v>0</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0</v>
      </c>
      <c r="L33" s="31">
        <f>[1]TruckNumbers!L36</f>
        <v>5.6</v>
      </c>
      <c r="M33">
        <f>[1]TruckNumbers!M36</f>
        <v>0.24055555555555552</v>
      </c>
      <c r="N33">
        <f>[1]TruckNumbers!N36</f>
        <v>76.073903002309478</v>
      </c>
      <c r="O33" s="4">
        <f>[1]TruckNumbers!O36</f>
        <v>0</v>
      </c>
      <c r="P33" s="28">
        <f>[1]TruckNumbers!P36</f>
        <v>0</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v>
      </c>
      <c r="L34" s="31">
        <f>[1]TruckNumbers!L37</f>
        <v>0</v>
      </c>
      <c r="M34">
        <f>[1]TruckNumbers!M37</f>
        <v>0.23138888888888889</v>
      </c>
      <c r="N34">
        <f>[1]TruckNumbers!N37</f>
        <v>15.558223289315727</v>
      </c>
      <c r="O34" s="4">
        <f>[1]TruckNumbers!O37</f>
        <v>0</v>
      </c>
      <c r="P34" s="28">
        <f>[1]TruckNumbers!P37</f>
        <v>0</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0</v>
      </c>
      <c r="L35" s="31">
        <f>[1]TruckNumbers!L38</f>
        <v>3.6</v>
      </c>
      <c r="M35">
        <f>[1]TruckNumbers!M38</f>
        <v>3.1422222222222227</v>
      </c>
      <c r="N35">
        <f>[1]TruckNumbers!N38</f>
        <v>10.820367751060818</v>
      </c>
      <c r="O35" s="4">
        <f>[1]TruckNumbers!O38</f>
        <v>0</v>
      </c>
      <c r="P35" s="28">
        <f>[1]TruckNumbers!P38</f>
        <v>0</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0</v>
      </c>
      <c r="L36" s="31">
        <f>[1]TruckNumbers!L39</f>
        <v>0</v>
      </c>
      <c r="M36">
        <f>[1]TruckNumbers!M39</f>
        <v>2.6202777777777779</v>
      </c>
      <c r="N36">
        <f>[1]TruckNumbers!N39</f>
        <v>43.545001590162194</v>
      </c>
      <c r="O36" s="4">
        <f>[1]TruckNumbers!O39</f>
        <v>0</v>
      </c>
      <c r="P36" s="28">
        <f>[1]TruckNumbers!P39</f>
        <v>0</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v>
      </c>
      <c r="L37" s="31">
        <f>[1]TruckNumbers!L40</f>
        <v>0</v>
      </c>
      <c r="M37">
        <f>[1]TruckNumbers!M40</f>
        <v>0.47444444444444445</v>
      </c>
      <c r="N37">
        <f>[1]TruckNumbers!N40</f>
        <v>33.512880562060893</v>
      </c>
      <c r="O37" s="4">
        <f>[1]TruckNumbers!O40</f>
        <v>0</v>
      </c>
      <c r="P37" s="28">
        <f>[1]TruckNumbers!P40</f>
        <v>0</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v>
      </c>
      <c r="L38" s="31">
        <f>[1]TruckNumbers!L41</f>
        <v>0</v>
      </c>
      <c r="M38">
        <f>[1]TruckNumbers!M41</f>
        <v>0.38638888888888889</v>
      </c>
      <c r="N38">
        <f>[1]TruckNumbers!N41</f>
        <v>28.468727534148094</v>
      </c>
      <c r="O38" s="4">
        <f>[1]TruckNumbers!O41</f>
        <v>0</v>
      </c>
      <c r="P38" s="28">
        <f>[1]TruckNumbers!P41</f>
        <v>0</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v>
      </c>
      <c r="L39" s="31">
        <f>[1]TruckNumbers!L42</f>
        <v>11</v>
      </c>
      <c r="M39">
        <f>[1]TruckNumbers!M42</f>
        <v>0.13916666666666661</v>
      </c>
      <c r="N39">
        <f>[1]TruckNumbers!N42</f>
        <v>120.71856287425156</v>
      </c>
      <c r="O39" s="4">
        <f>[1]TruckNumbers!O42</f>
        <v>0</v>
      </c>
      <c r="P39" s="28">
        <f>[1]TruckNumbers!P42</f>
        <v>0</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0</v>
      </c>
      <c r="L40" s="31">
        <f>[1]TruckNumbers!L43</f>
        <v>16.8</v>
      </c>
      <c r="M40">
        <f>[1]TruckNumbers!M43</f>
        <v>0.40416666666666673</v>
      </c>
      <c r="N40">
        <f>[1]TruckNumbers!N43</f>
        <v>118.02061855670102</v>
      </c>
      <c r="O40" s="4">
        <f>[1]TruckNumbers!O43</f>
        <v>0</v>
      </c>
      <c r="P40" s="28">
        <f>[1]TruckNumbers!P43</f>
        <v>0</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v>
      </c>
      <c r="L41" s="31">
        <f>[1]TruckNumbers!L44</f>
        <v>0</v>
      </c>
      <c r="M41">
        <f>[1]TruckNumbers!M44</f>
        <v>0.25416666666666665</v>
      </c>
      <c r="N41">
        <f>[1]TruckNumbers!N44</f>
        <v>44.065573770491802</v>
      </c>
      <c r="O41" s="4">
        <f>[1]TruckNumbers!O44</f>
        <v>0</v>
      </c>
      <c r="P41" s="28">
        <f>[1]TruckNumbers!P44</f>
        <v>0</v>
      </c>
      <c r="Q41" s="4">
        <f>[1]TruckNumbers!Q44</f>
        <v>5.1989999999999998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v>
      </c>
      <c r="L42" s="31">
        <f>[1]TruckNumbers!L45</f>
        <v>0</v>
      </c>
      <c r="M42">
        <f>[1]TruckNumbers!M45</f>
        <v>0.25388888888888889</v>
      </c>
      <c r="N42">
        <f>[1]TruckNumbers!N45</f>
        <v>44.113785557986866</v>
      </c>
      <c r="O42" s="4">
        <f>[1]TruckNumbers!O45</f>
        <v>0</v>
      </c>
      <c r="P42" s="28">
        <f>[1]TruckNumbers!P45</f>
        <v>0</v>
      </c>
      <c r="Q42" s="4">
        <f>[1]TruckNumbers!Q45</f>
        <v>6.1989999999999998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0</v>
      </c>
      <c r="L43" s="31">
        <f>[1]TruckNumbers!L46</f>
        <v>11.2</v>
      </c>
      <c r="M43">
        <f>[1]TruckNumbers!M46</f>
        <v>1.0794444444444444</v>
      </c>
      <c r="N43">
        <f>[1]TruckNumbers!N46</f>
        <v>56.417910447761194</v>
      </c>
      <c r="O43" s="4">
        <f>[1]TruckNumbers!O46</f>
        <v>0</v>
      </c>
      <c r="P43" s="28">
        <f>[1]TruckNumbers!P46</f>
        <v>0</v>
      </c>
      <c r="Q43" s="4">
        <f>[1]TruckNumbers!Q46</f>
        <v>7.1989999999999998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v>
      </c>
      <c r="L44" s="31">
        <f>[1]TruckNumbers!L47</f>
        <v>0</v>
      </c>
      <c r="M44">
        <f>[1]TruckNumbers!M47</f>
        <v>0.15833333333333333</v>
      </c>
      <c r="N44">
        <f>[1]TruckNumbers!N47</f>
        <v>24.631578947368421</v>
      </c>
      <c r="O44" s="4">
        <f>[1]TruckNumbers!O47</f>
        <v>0</v>
      </c>
      <c r="P44" s="28">
        <f>[1]TruckNumbers!P47</f>
        <v>0</v>
      </c>
      <c r="Q44" s="4">
        <f>[1]TruckNumbers!Q47</f>
        <v>8.1989999999999998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v>
      </c>
      <c r="L45" s="31">
        <f>[1]TruckNumbers!L48</f>
        <v>3.9</v>
      </c>
      <c r="M45">
        <f>[1]TruckNumbers!M48</f>
        <v>0.18166666666666664</v>
      </c>
      <c r="N45">
        <f>[1]TruckNumbers!N48</f>
        <v>64.954128440366986</v>
      </c>
      <c r="O45" s="4">
        <f>[1]TruckNumbers!O48</f>
        <v>0</v>
      </c>
      <c r="P45" s="28">
        <f>[1]TruckNumbers!P48</f>
        <v>0</v>
      </c>
      <c r="Q45" s="4">
        <f>[1]TruckNumbers!Q48</f>
        <v>9.1989999999999998</v>
      </c>
      <c r="R45" s="4">
        <f>[1]TruckNumbers!R48</f>
        <v>0.375</v>
      </c>
      <c r="S45" s="4" t="b">
        <f>[1]TruckNumbers!S48</f>
        <v>1</v>
      </c>
      <c r="T45" s="4">
        <f>[1]TruckNumbers!T48</f>
        <v>7.5694444444444437E-3</v>
      </c>
      <c r="U45">
        <f>[1]TruckNumbers!U48</f>
        <v>3.8999999999996362</v>
      </c>
      <c r="V45">
        <f>[1]TruckNumbers!V48</f>
        <v>12562.1</v>
      </c>
      <c r="W45">
        <f>[1]TruckNumbers!W48</f>
        <v>11.8</v>
      </c>
      <c r="X45">
        <f>[1]TruckNumbers!X48</f>
        <v>0</v>
      </c>
    </row>
    <row r="46" spans="1:24" x14ac:dyDescent="0.2">
      <c r="A46">
        <f>[1]TruckNumbers!A49</f>
        <v>45820.720138888886</v>
      </c>
      <c r="B46">
        <f>[1]TruckNumbers!B49</f>
        <v>0</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0</v>
      </c>
      <c r="L46" s="31">
        <f>[1]TruckNumbers!L49</f>
        <v>0</v>
      </c>
      <c r="M46">
        <f>[1]TruckNumbers!M49</f>
        <v>0</v>
      </c>
      <c r="N46">
        <f>[1]TruckNumbers!N49</f>
        <v>0</v>
      </c>
      <c r="O46" s="4">
        <f>[1]TruckNumbers!O49</f>
        <v>0</v>
      </c>
      <c r="P46" s="28">
        <f>[1]TruckNumbers!P49</f>
        <v>0</v>
      </c>
      <c r="Q46" s="4">
        <f>[1]TruckNumbers!Q49</f>
        <v>0</v>
      </c>
      <c r="R46" s="4">
        <f>[1]TruckNumbers!R49</f>
        <v>0</v>
      </c>
      <c r="S46" s="4">
        <f>[1]TruckNumbers!S49</f>
        <v>0</v>
      </c>
      <c r="T46" s="4">
        <f>[1]TruckNumbers!T49</f>
        <v>0</v>
      </c>
      <c r="U46">
        <f>[1]TruckNumbers!U49</f>
        <v>0</v>
      </c>
      <c r="V46">
        <f>[1]TruckNumbers!V49</f>
        <v>0</v>
      </c>
      <c r="W46">
        <f>[1]TruckNumbers!W49</f>
        <v>0</v>
      </c>
      <c r="X46">
        <f>[1]TruckNumbers!X49</f>
        <v>0</v>
      </c>
    </row>
    <row r="47" spans="1:24" x14ac:dyDescent="0.2">
      <c r="A47">
        <f>[1]TruckNumbers!A50</f>
        <v>45821.381944444445</v>
      </c>
      <c r="B47">
        <f>[1]TruckNumbers!B50</f>
        <v>0</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v>
      </c>
      <c r="L47" s="31">
        <f>[1]TruckNumbers!L50</f>
        <v>0</v>
      </c>
      <c r="M47">
        <f>[1]TruckNumbers!M50</f>
        <v>0</v>
      </c>
      <c r="N47">
        <f>[1]TruckNumbers!N50</f>
        <v>0</v>
      </c>
      <c r="O47" s="4">
        <f>[1]TruckNumbers!O50</f>
        <v>0</v>
      </c>
      <c r="P47" s="28">
        <f>[1]TruckNumbers!P50</f>
        <v>0</v>
      </c>
      <c r="Q47" s="4">
        <f>[1]TruckNumbers!Q50</f>
        <v>0</v>
      </c>
      <c r="R47" s="4">
        <f>[1]TruckNumbers!R50</f>
        <v>0</v>
      </c>
      <c r="S47" s="4">
        <f>[1]TruckNumbers!S50</f>
        <v>0</v>
      </c>
      <c r="T47" s="4">
        <f>[1]TruckNumbers!T50</f>
        <v>0</v>
      </c>
      <c r="U47">
        <f>[1]TruckNumbers!U50</f>
        <v>0</v>
      </c>
      <c r="V47">
        <f>[1]TruckNumbers!V50</f>
        <v>0</v>
      </c>
      <c r="W47">
        <f>[1]TruckNumbers!W50</f>
        <v>0</v>
      </c>
      <c r="X47">
        <f>[1]TruckNumbers!X50</f>
        <v>0</v>
      </c>
    </row>
    <row r="48" spans="1:24" x14ac:dyDescent="0.2">
      <c r="A48">
        <f>[1]TruckNumbers!A51</f>
        <v>45821.654166666667</v>
      </c>
      <c r="B48">
        <f>[1]TruckNumbers!B51</f>
        <v>0</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0</v>
      </c>
      <c r="L48" s="31">
        <f>[1]TruckNumbers!L51</f>
        <v>0</v>
      </c>
      <c r="M48">
        <f>[1]TruckNumbers!M51</f>
        <v>0</v>
      </c>
      <c r="N48">
        <f>[1]TruckNumbers!N51</f>
        <v>0</v>
      </c>
      <c r="O48" s="4">
        <f>[1]TruckNumbers!O51</f>
        <v>0</v>
      </c>
      <c r="P48" s="28">
        <f>[1]TruckNumbers!P51</f>
        <v>0</v>
      </c>
      <c r="Q48" s="4">
        <f>[1]TruckNumbers!Q51</f>
        <v>0</v>
      </c>
      <c r="R48" s="4">
        <f>[1]TruckNumbers!R51</f>
        <v>0</v>
      </c>
      <c r="S48" s="4">
        <f>[1]TruckNumbers!S51</f>
        <v>0</v>
      </c>
      <c r="T48" s="4">
        <f>[1]TruckNumbers!T51</f>
        <v>0</v>
      </c>
      <c r="U48">
        <f>[1]TruckNumbers!U51</f>
        <v>0</v>
      </c>
      <c r="V48">
        <f>[1]TruckNumbers!V51</f>
        <v>0</v>
      </c>
      <c r="W48">
        <f>[1]TruckNumbers!W51</f>
        <v>0</v>
      </c>
      <c r="X48">
        <f>[1]TruckNumbers!X51</f>
        <v>0</v>
      </c>
    </row>
    <row r="49" spans="1:24" x14ac:dyDescent="0.2">
      <c r="A49">
        <f>[1]TruckNumbers!A52</f>
        <v>45821.25</v>
      </c>
      <c r="B49">
        <f>[1]TruckNumbers!B52</f>
        <v>0</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0</v>
      </c>
      <c r="L49" s="31">
        <f>[1]TruckNumbers!L52</f>
        <v>0</v>
      </c>
      <c r="M49">
        <f>[1]TruckNumbers!M52</f>
        <v>0</v>
      </c>
      <c r="N49">
        <f>[1]TruckNumbers!N52</f>
        <v>0</v>
      </c>
      <c r="O49" s="4">
        <f>[1]TruckNumbers!O52</f>
        <v>0</v>
      </c>
      <c r="P49" s="28">
        <f>[1]TruckNumbers!P52</f>
        <v>0</v>
      </c>
      <c r="Q49" s="4">
        <f>[1]TruckNumbers!Q52</f>
        <v>0</v>
      </c>
      <c r="R49" s="4">
        <f>[1]TruckNumbers!R52</f>
        <v>0</v>
      </c>
      <c r="S49" s="4">
        <f>[1]TruckNumbers!S52</f>
        <v>0</v>
      </c>
      <c r="T49" s="4">
        <f>[1]TruckNumbers!T52</f>
        <v>0</v>
      </c>
      <c r="U49">
        <f>[1]TruckNumbers!U52</f>
        <v>0</v>
      </c>
      <c r="V49">
        <f>[1]TruckNumbers!V52</f>
        <v>0</v>
      </c>
      <c r="W49">
        <f>[1]TruckNumbers!W52</f>
        <v>0</v>
      </c>
      <c r="X49">
        <f>[1]TruckNumbers!X52</f>
        <v>0</v>
      </c>
    </row>
    <row r="50" spans="1:24" x14ac:dyDescent="0.2">
      <c r="A50">
        <f>[1]TruckNumbers!A53</f>
        <v>45823.289583333331</v>
      </c>
      <c r="B50">
        <f>[1]TruckNumbers!B53</f>
        <v>0</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v>
      </c>
      <c r="L50" s="31">
        <f>[1]TruckNumbers!L53</f>
        <v>0</v>
      </c>
      <c r="M50">
        <f>[1]TruckNumbers!M53</f>
        <v>0</v>
      </c>
      <c r="N50">
        <f>[1]TruckNumbers!N53</f>
        <v>0</v>
      </c>
      <c r="O50" s="4">
        <f>[1]TruckNumbers!O53</f>
        <v>0</v>
      </c>
      <c r="P50" s="28">
        <f>[1]TruckNumbers!P53</f>
        <v>0</v>
      </c>
      <c r="Q50" s="4">
        <f>[1]TruckNumbers!Q53</f>
        <v>0</v>
      </c>
      <c r="R50" s="4">
        <f>[1]TruckNumbers!R53</f>
        <v>0</v>
      </c>
      <c r="S50" s="4">
        <f>[1]TruckNumbers!S53</f>
        <v>0</v>
      </c>
      <c r="T50" s="4">
        <f>[1]TruckNumbers!T53</f>
        <v>0</v>
      </c>
      <c r="U50">
        <f>[1]TruckNumbers!U53</f>
        <v>0</v>
      </c>
      <c r="V50">
        <f>[1]TruckNumbers!V53</f>
        <v>0</v>
      </c>
      <c r="W50">
        <f>[1]TruckNumbers!W53</f>
        <v>0</v>
      </c>
      <c r="X50">
        <f>[1]TruckNumbers!X53</f>
        <v>0</v>
      </c>
    </row>
    <row r="51" spans="1:24" x14ac:dyDescent="0.2">
      <c r="A51">
        <f>[1]TruckNumbers!A54</f>
        <v>45823.461111111108</v>
      </c>
      <c r="B51">
        <f>[1]TruckNumbers!B54</f>
        <v>0</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v>
      </c>
      <c r="L51" s="31">
        <f>[1]TruckNumbers!L54</f>
        <v>0</v>
      </c>
      <c r="M51">
        <f>[1]TruckNumbers!M54</f>
        <v>0</v>
      </c>
      <c r="N51">
        <f>[1]TruckNumbers!N54</f>
        <v>0</v>
      </c>
      <c r="O51" s="4">
        <f>[1]TruckNumbers!O54</f>
        <v>0</v>
      </c>
      <c r="P51" s="28">
        <f>[1]TruckNumbers!P54</f>
        <v>0</v>
      </c>
      <c r="Q51" s="4">
        <f>[1]TruckNumbers!Q54</f>
        <v>0</v>
      </c>
      <c r="R51" s="4">
        <f>[1]TruckNumbers!R54</f>
        <v>0</v>
      </c>
      <c r="S51" s="4">
        <f>[1]TruckNumbers!S54</f>
        <v>0</v>
      </c>
      <c r="T51" s="4">
        <f>[1]TruckNumbers!T54</f>
        <v>0</v>
      </c>
      <c r="U51">
        <f>[1]TruckNumbers!U54</f>
        <v>0</v>
      </c>
      <c r="V51">
        <f>[1]TruckNumbers!V54</f>
        <v>0</v>
      </c>
      <c r="W51">
        <f>[1]TruckNumbers!W54</f>
        <v>0</v>
      </c>
      <c r="X51">
        <f>[1]TruckNumbers!X54</f>
        <v>0</v>
      </c>
    </row>
    <row r="52" spans="1:24" x14ac:dyDescent="0.2">
      <c r="A52">
        <f>[1]TruckNumbers!A55</f>
        <v>0</v>
      </c>
      <c r="B52">
        <f>[1]TruckNumbers!B55</f>
        <v>0</v>
      </c>
      <c r="C52" s="29">
        <f>[1]TruckNumbers!C55</f>
        <v>0</v>
      </c>
      <c r="D52" s="4">
        <f>[1]TruckNumbers!E55</f>
        <v>0</v>
      </c>
      <c r="E52" s="30">
        <f>[1]TruckNumbers!D55</f>
        <v>0</v>
      </c>
      <c r="F52" s="4">
        <f>[1]TruckNumbers!G55</f>
        <v>0</v>
      </c>
      <c r="G52">
        <f>[1]TruckNumbers!H55</f>
        <v>0</v>
      </c>
      <c r="H52" s="4">
        <f>[1]TruckNumbers!I55</f>
        <v>0</v>
      </c>
      <c r="I52" s="4">
        <f>[1]TruckNumbers!F55</f>
        <v>0</v>
      </c>
      <c r="J52" s="4">
        <f>[1]TruckNumbers!J55</f>
        <v>0</v>
      </c>
      <c r="K52" s="4">
        <f>[1]TruckNumbers!K55</f>
        <v>0</v>
      </c>
      <c r="L52" s="31">
        <f>[1]TruckNumbers!L55</f>
        <v>0</v>
      </c>
      <c r="M52">
        <f>[1]TruckNumbers!M55</f>
        <v>0</v>
      </c>
      <c r="N52">
        <f>[1]TruckNumbers!N55</f>
        <v>0</v>
      </c>
      <c r="O52" s="4">
        <f>[1]TruckNumbers!O55</f>
        <v>0</v>
      </c>
      <c r="P52" s="28">
        <f>[1]TruckNumbers!P55</f>
        <v>0</v>
      </c>
      <c r="Q52" s="4">
        <f>[1]TruckNumbers!Q55</f>
        <v>0</v>
      </c>
      <c r="R52" s="4">
        <f>[1]TruckNumbers!R55</f>
        <v>0</v>
      </c>
      <c r="S52" s="4">
        <f>[1]TruckNumbers!S55</f>
        <v>0</v>
      </c>
      <c r="T52" s="4">
        <f>[1]TruckNumbers!T55</f>
        <v>0</v>
      </c>
      <c r="U52">
        <f>[1]TruckNumbers!U55</f>
        <v>0</v>
      </c>
      <c r="V52">
        <f>[1]TruckNumbers!V55</f>
        <v>0</v>
      </c>
      <c r="W52">
        <f>[1]TruckNumbers!W55</f>
        <v>0</v>
      </c>
      <c r="X52">
        <f>[1]TruckNumbers!X55</f>
        <v>0</v>
      </c>
    </row>
    <row r="53" spans="1:24" x14ac:dyDescent="0.2">
      <c r="A53">
        <f>[1]TruckNumbers!A56</f>
        <v>0</v>
      </c>
      <c r="B53">
        <f>[1]TruckNumbers!B56</f>
        <v>0</v>
      </c>
      <c r="C53" s="29">
        <f>[1]TruckNumbers!C56</f>
        <v>0</v>
      </c>
      <c r="D53" s="4">
        <f>[1]TruckNumbers!E56</f>
        <v>0</v>
      </c>
      <c r="E53" s="30">
        <f>[1]TruckNumbers!D56</f>
        <v>0</v>
      </c>
      <c r="F53" s="4">
        <f>[1]TruckNumbers!G56</f>
        <v>0</v>
      </c>
      <c r="G53">
        <f>[1]TruckNumbers!H56</f>
        <v>0</v>
      </c>
      <c r="H53" s="4">
        <f>[1]TruckNumbers!I56</f>
        <v>0</v>
      </c>
      <c r="I53" s="4">
        <f>[1]TruckNumbers!F56</f>
        <v>0</v>
      </c>
      <c r="J53" s="4">
        <f>[1]TruckNumbers!J56</f>
        <v>0</v>
      </c>
      <c r="K53" s="4">
        <f>[1]TruckNumbers!K56</f>
        <v>0</v>
      </c>
      <c r="L53" s="31">
        <f>[1]TruckNumbers!L56</f>
        <v>0</v>
      </c>
      <c r="M53">
        <f>[1]TruckNumbers!M56</f>
        <v>0</v>
      </c>
      <c r="N53">
        <f>[1]TruckNumbers!N56</f>
        <v>0</v>
      </c>
      <c r="O53" s="4">
        <f>[1]TruckNumbers!O56</f>
        <v>0</v>
      </c>
      <c r="P53" s="28">
        <f>[1]TruckNumbers!P56</f>
        <v>0</v>
      </c>
      <c r="Q53" s="4">
        <f>[1]TruckNumbers!Q56</f>
        <v>0</v>
      </c>
      <c r="R53" s="4">
        <f>[1]TruckNumbers!R56</f>
        <v>0</v>
      </c>
      <c r="S53" s="4">
        <f>[1]TruckNumbers!S56</f>
        <v>0</v>
      </c>
      <c r="T53" s="4">
        <f>[1]TruckNumbers!T56</f>
        <v>0</v>
      </c>
      <c r="U53">
        <f>[1]TruckNumbers!U56</f>
        <v>0</v>
      </c>
      <c r="V53">
        <f>[1]TruckNumbers!V56</f>
        <v>0</v>
      </c>
      <c r="W53">
        <f>[1]TruckNumbers!W56</f>
        <v>0</v>
      </c>
      <c r="X53">
        <f>[1]TruckNumbers!X56</f>
        <v>0</v>
      </c>
    </row>
    <row r="54" spans="1:24" x14ac:dyDescent="0.2">
      <c r="A54">
        <f>[1]TruckNumbers!A57</f>
        <v>0</v>
      </c>
      <c r="B54">
        <f>[1]TruckNumbers!B57</f>
        <v>0</v>
      </c>
      <c r="C54" s="29">
        <f>[1]TruckNumbers!C57</f>
        <v>0</v>
      </c>
      <c r="D54" s="4">
        <f>[1]TruckNumbers!E57</f>
        <v>0</v>
      </c>
      <c r="E54" s="30">
        <f>[1]TruckNumbers!D57</f>
        <v>0</v>
      </c>
      <c r="F54" s="4">
        <f>[1]TruckNumbers!G57</f>
        <v>0</v>
      </c>
      <c r="G54">
        <f>[1]TruckNumbers!H57</f>
        <v>0</v>
      </c>
      <c r="H54" s="4">
        <f>[1]TruckNumbers!I57</f>
        <v>0</v>
      </c>
      <c r="I54" s="4">
        <f>[1]TruckNumbers!F57</f>
        <v>0</v>
      </c>
      <c r="J54" s="4">
        <f>[1]TruckNumbers!J57</f>
        <v>0</v>
      </c>
      <c r="K54" s="4">
        <f>[1]TruckNumbers!K57</f>
        <v>0</v>
      </c>
      <c r="L54" s="31">
        <f>[1]TruckNumbers!L57</f>
        <v>0</v>
      </c>
      <c r="M54">
        <f>[1]TruckNumbers!M57</f>
        <v>0</v>
      </c>
      <c r="N54">
        <f>[1]TruckNumbers!N57</f>
        <v>0</v>
      </c>
      <c r="O54" s="4">
        <f>[1]TruckNumbers!O57</f>
        <v>0</v>
      </c>
      <c r="P54" s="28">
        <f>[1]TruckNumbers!P57</f>
        <v>0</v>
      </c>
      <c r="Q54" s="4">
        <f>[1]TruckNumbers!Q57</f>
        <v>0</v>
      </c>
      <c r="R54" s="4">
        <f>[1]TruckNumbers!R57</f>
        <v>0</v>
      </c>
      <c r="S54" s="4">
        <f>[1]TruckNumbers!S57</f>
        <v>0</v>
      </c>
      <c r="T54" s="4">
        <f>[1]TruckNumbers!T57</f>
        <v>0</v>
      </c>
      <c r="U54">
        <f>[1]TruckNumbers!U57</f>
        <v>0</v>
      </c>
      <c r="V54">
        <f>[1]TruckNumbers!V57</f>
        <v>0</v>
      </c>
      <c r="W54">
        <f>[1]TruckNumbers!W57</f>
        <v>0</v>
      </c>
      <c r="X54">
        <f>[1]TruckNumbers!X57</f>
        <v>0</v>
      </c>
    </row>
    <row r="55" spans="1:24" x14ac:dyDescent="0.2">
      <c r="A55">
        <f>[1]TruckNumbers!A58</f>
        <v>0</v>
      </c>
      <c r="B55">
        <f>[1]TruckNumbers!B58</f>
        <v>0</v>
      </c>
      <c r="C55" s="29">
        <f>[1]TruckNumbers!C58</f>
        <v>0</v>
      </c>
      <c r="D55" s="4">
        <f>[1]TruckNumbers!E58</f>
        <v>0</v>
      </c>
      <c r="E55" s="30">
        <f>[1]TruckNumbers!D58</f>
        <v>0</v>
      </c>
      <c r="F55" s="4">
        <f>[1]TruckNumbers!G58</f>
        <v>0</v>
      </c>
      <c r="G55">
        <f>[1]TruckNumbers!H58</f>
        <v>0</v>
      </c>
      <c r="H55" s="4">
        <f>[1]TruckNumbers!I58</f>
        <v>0</v>
      </c>
      <c r="I55" s="4">
        <f>[1]TruckNumbers!F58</f>
        <v>0</v>
      </c>
      <c r="J55" s="4">
        <f>[1]TruckNumbers!J58</f>
        <v>0</v>
      </c>
      <c r="K55" s="4">
        <f>[1]TruckNumbers!K58</f>
        <v>0</v>
      </c>
      <c r="L55" s="31">
        <f>[1]TruckNumbers!L58</f>
        <v>0</v>
      </c>
      <c r="M55">
        <f>[1]TruckNumbers!M58</f>
        <v>0</v>
      </c>
      <c r="N55">
        <f>[1]TruckNumbers!N58</f>
        <v>0</v>
      </c>
      <c r="O55" s="4">
        <f>[1]TruckNumbers!O58</f>
        <v>0</v>
      </c>
      <c r="P55" s="28">
        <f>[1]TruckNumbers!P58</f>
        <v>0</v>
      </c>
      <c r="Q55" s="4">
        <f>[1]TruckNumbers!Q58</f>
        <v>0</v>
      </c>
      <c r="R55" s="4">
        <f>[1]TruckNumbers!R58</f>
        <v>0</v>
      </c>
      <c r="S55" s="4">
        <f>[1]TruckNumbers!S58</f>
        <v>0</v>
      </c>
      <c r="T55" s="4">
        <f>[1]TruckNumbers!T58</f>
        <v>0</v>
      </c>
      <c r="U55">
        <f>[1]TruckNumbers!U58</f>
        <v>0</v>
      </c>
      <c r="V55">
        <f>[1]TruckNumbers!V58</f>
        <v>0</v>
      </c>
      <c r="W55">
        <f>[1]TruckNumbers!W58</f>
        <v>0</v>
      </c>
      <c r="X55">
        <f>[1]TruckNumbers!X58</f>
        <v>0</v>
      </c>
    </row>
    <row r="56" spans="1:24" x14ac:dyDescent="0.2">
      <c r="A56">
        <f>[1]TruckNumbers!A59</f>
        <v>0</v>
      </c>
      <c r="B56">
        <f>[1]TruckNumbers!B59</f>
        <v>0</v>
      </c>
      <c r="C56" s="29">
        <f>[1]TruckNumbers!C59</f>
        <v>0</v>
      </c>
      <c r="D56" s="4">
        <f>[1]TruckNumbers!E59</f>
        <v>0</v>
      </c>
      <c r="E56" s="30">
        <f>[1]TruckNumbers!D59</f>
        <v>0</v>
      </c>
      <c r="F56" s="4">
        <f>[1]TruckNumbers!G59</f>
        <v>0</v>
      </c>
      <c r="G56">
        <f>[1]TruckNumbers!H59</f>
        <v>0</v>
      </c>
      <c r="H56" s="4">
        <f>[1]TruckNumbers!I59</f>
        <v>0</v>
      </c>
      <c r="I56" s="4">
        <f>[1]TruckNumbers!F59</f>
        <v>0</v>
      </c>
      <c r="J56" s="4">
        <f>[1]TruckNumbers!J59</f>
        <v>0</v>
      </c>
      <c r="K56" s="4">
        <f>[1]TruckNumbers!K59</f>
        <v>0</v>
      </c>
      <c r="L56" s="31">
        <f>[1]TruckNumbers!L59</f>
        <v>0</v>
      </c>
      <c r="M56">
        <f>[1]TruckNumbers!M59</f>
        <v>0</v>
      </c>
      <c r="N56">
        <f>[1]TruckNumbers!N59</f>
        <v>0</v>
      </c>
      <c r="O56" s="4">
        <f>[1]TruckNumbers!O59</f>
        <v>0</v>
      </c>
      <c r="P56" s="28">
        <f>[1]TruckNumbers!P59</f>
        <v>0</v>
      </c>
      <c r="Q56" s="4">
        <f>[1]TruckNumbers!Q59</f>
        <v>0</v>
      </c>
      <c r="R56" s="4">
        <f>[1]TruckNumbers!R59</f>
        <v>0</v>
      </c>
      <c r="S56" s="4">
        <f>[1]TruckNumbers!S59</f>
        <v>0</v>
      </c>
      <c r="T56" s="4">
        <f>[1]TruckNumbers!T59</f>
        <v>0</v>
      </c>
      <c r="U56">
        <f>[1]TruckNumbers!U59</f>
        <v>0</v>
      </c>
      <c r="V56">
        <f>[1]TruckNumbers!V59</f>
        <v>0</v>
      </c>
      <c r="W56">
        <f>[1]TruckNumbers!W59</f>
        <v>0</v>
      </c>
      <c r="X56">
        <f>[1]TruckNumbers!X59</f>
        <v>0</v>
      </c>
    </row>
    <row r="57" spans="1:24" x14ac:dyDescent="0.2">
      <c r="A57">
        <f>[1]TruckNumbers!A60</f>
        <v>0</v>
      </c>
      <c r="B57">
        <f>[1]TruckNumbers!B60</f>
        <v>0</v>
      </c>
      <c r="C57" s="29">
        <f>[1]TruckNumbers!C60</f>
        <v>0</v>
      </c>
      <c r="D57" s="4">
        <f>[1]TruckNumbers!E60</f>
        <v>0</v>
      </c>
      <c r="E57" s="30">
        <f>[1]TruckNumbers!D60</f>
        <v>0</v>
      </c>
      <c r="F57" s="4">
        <f>[1]TruckNumbers!G60</f>
        <v>0</v>
      </c>
      <c r="G57">
        <f>[1]TruckNumbers!H60</f>
        <v>0</v>
      </c>
      <c r="H57" s="4">
        <f>[1]TruckNumbers!I60</f>
        <v>0</v>
      </c>
      <c r="I57" s="4">
        <f>[1]TruckNumbers!F60</f>
        <v>0</v>
      </c>
      <c r="J57" s="4">
        <f>[1]TruckNumbers!J60</f>
        <v>0</v>
      </c>
      <c r="K57" s="4">
        <f>[1]TruckNumbers!K60</f>
        <v>0</v>
      </c>
      <c r="L57" s="31">
        <f>[1]TruckNumbers!L60</f>
        <v>0</v>
      </c>
      <c r="M57">
        <f>[1]TruckNumbers!M60</f>
        <v>0</v>
      </c>
      <c r="N57">
        <f>[1]TruckNumbers!N60</f>
        <v>0</v>
      </c>
      <c r="O57" s="4">
        <f>[1]TruckNumbers!O60</f>
        <v>0</v>
      </c>
      <c r="P57" s="28">
        <f>[1]TruckNumbers!P60</f>
        <v>0</v>
      </c>
      <c r="Q57" s="4">
        <f>[1]TruckNumbers!Q60</f>
        <v>0</v>
      </c>
      <c r="R57" s="4">
        <f>[1]TruckNumbers!R60</f>
        <v>0</v>
      </c>
      <c r="S57" s="4">
        <f>[1]TruckNumbers!S60</f>
        <v>0</v>
      </c>
      <c r="T57" s="4">
        <f>[1]TruckNumbers!T60</f>
        <v>0</v>
      </c>
      <c r="U57">
        <f>[1]TruckNumbers!U60</f>
        <v>0</v>
      </c>
      <c r="V57">
        <f>[1]TruckNumbers!V60</f>
        <v>0</v>
      </c>
      <c r="W57">
        <f>[1]TruckNumbers!W60</f>
        <v>0</v>
      </c>
      <c r="X57">
        <f>[1]TruckNumbers!X60</f>
        <v>0</v>
      </c>
    </row>
    <row r="58" spans="1:24" x14ac:dyDescent="0.2">
      <c r="A58">
        <f>[1]TruckNumbers!A61</f>
        <v>0</v>
      </c>
      <c r="B58">
        <f>[1]TruckNumbers!B61</f>
        <v>0</v>
      </c>
      <c r="C58" s="29">
        <f>[1]TruckNumbers!C61</f>
        <v>0</v>
      </c>
      <c r="D58" s="4">
        <f>[1]TruckNumbers!E61</f>
        <v>0</v>
      </c>
      <c r="E58" s="30">
        <f>[1]TruckNumbers!D61</f>
        <v>0</v>
      </c>
      <c r="F58" s="4">
        <f>[1]TruckNumbers!G61</f>
        <v>0</v>
      </c>
      <c r="G58">
        <f>[1]TruckNumbers!H61</f>
        <v>0</v>
      </c>
      <c r="H58" s="4">
        <f>[1]TruckNumbers!I61</f>
        <v>0</v>
      </c>
      <c r="I58" s="4">
        <f>[1]TruckNumbers!F61</f>
        <v>0</v>
      </c>
      <c r="J58" s="4">
        <f>[1]TruckNumbers!J61</f>
        <v>0</v>
      </c>
      <c r="K58" s="4">
        <f>[1]TruckNumbers!K61</f>
        <v>0</v>
      </c>
      <c r="L58" s="31">
        <f>[1]TruckNumbers!L61</f>
        <v>0</v>
      </c>
      <c r="M58">
        <f>[1]TruckNumbers!M61</f>
        <v>0</v>
      </c>
      <c r="N58">
        <f>[1]TruckNumbers!N61</f>
        <v>0</v>
      </c>
      <c r="O58" s="4">
        <f>[1]TruckNumbers!O61</f>
        <v>0</v>
      </c>
      <c r="P58" s="28">
        <f>[1]TruckNumbers!P61</f>
        <v>0</v>
      </c>
      <c r="Q58" s="4">
        <f>[1]TruckNumbers!Q61</f>
        <v>0</v>
      </c>
      <c r="R58" s="4">
        <f>[1]TruckNumbers!R61</f>
        <v>0</v>
      </c>
      <c r="S58" s="4">
        <f>[1]TruckNumbers!S61</f>
        <v>0</v>
      </c>
      <c r="T58" s="4">
        <f>[1]TruckNumbers!T61</f>
        <v>0</v>
      </c>
      <c r="U58">
        <f>[1]TruckNumbers!U61</f>
        <v>0</v>
      </c>
      <c r="V58">
        <f>[1]TruckNumbers!V61</f>
        <v>0</v>
      </c>
      <c r="W58">
        <f>[1]TruckNumbers!W61</f>
        <v>0</v>
      </c>
      <c r="X58">
        <f>[1]TruckNumbers!X61</f>
        <v>0</v>
      </c>
    </row>
    <row r="59" spans="1:24" x14ac:dyDescent="0.2">
      <c r="A59">
        <f>[1]TruckNumbers!A62</f>
        <v>0</v>
      </c>
      <c r="B59">
        <f>[1]TruckNumbers!B62</f>
        <v>0</v>
      </c>
      <c r="C59" s="29">
        <f>[1]TruckNumbers!C62</f>
        <v>0</v>
      </c>
      <c r="D59" s="4">
        <f>[1]TruckNumbers!E62</f>
        <v>0</v>
      </c>
      <c r="E59" s="30">
        <f>[1]TruckNumbers!D62</f>
        <v>0</v>
      </c>
      <c r="F59" s="4">
        <f>[1]TruckNumbers!G62</f>
        <v>0</v>
      </c>
      <c r="G59">
        <f>[1]TruckNumbers!H62</f>
        <v>0</v>
      </c>
      <c r="H59" s="4">
        <f>[1]TruckNumbers!I62</f>
        <v>0</v>
      </c>
      <c r="I59" s="4">
        <f>[1]TruckNumbers!F62</f>
        <v>0</v>
      </c>
      <c r="J59" s="4">
        <f>[1]TruckNumbers!J62</f>
        <v>0</v>
      </c>
      <c r="K59" s="4">
        <f>[1]TruckNumbers!K62</f>
        <v>0</v>
      </c>
      <c r="L59" s="31">
        <f>[1]TruckNumbers!L62</f>
        <v>0</v>
      </c>
      <c r="M59">
        <f>[1]TruckNumbers!M62</f>
        <v>0</v>
      </c>
      <c r="N59">
        <f>[1]TruckNumbers!N62</f>
        <v>0</v>
      </c>
      <c r="O59" s="4">
        <f>[1]TruckNumbers!O62</f>
        <v>0</v>
      </c>
      <c r="P59" s="28">
        <f>[1]TruckNumbers!P62</f>
        <v>0</v>
      </c>
      <c r="Q59" s="4">
        <f>[1]TruckNumbers!Q62</f>
        <v>0</v>
      </c>
      <c r="R59" s="4">
        <f>[1]TruckNumbers!R62</f>
        <v>0</v>
      </c>
      <c r="S59" s="4">
        <f>[1]TruckNumbers!S62</f>
        <v>0</v>
      </c>
      <c r="T59" s="4">
        <f>[1]TruckNumbers!T62</f>
        <v>0</v>
      </c>
      <c r="U59">
        <f>[1]TruckNumbers!U62</f>
        <v>0</v>
      </c>
      <c r="V59">
        <f>[1]TruckNumbers!V62</f>
        <v>0</v>
      </c>
      <c r="W59">
        <f>[1]TruckNumbers!W62</f>
        <v>0</v>
      </c>
      <c r="X59">
        <f>[1]TruckNumbers!X62</f>
        <v>0</v>
      </c>
    </row>
    <row r="60" spans="1:24" x14ac:dyDescent="0.2">
      <c r="A60">
        <f>[1]TruckNumbers!A63</f>
        <v>0</v>
      </c>
      <c r="B60">
        <f>[1]TruckNumbers!B63</f>
        <v>0</v>
      </c>
      <c r="C60" s="29">
        <f>[1]TruckNumbers!C63</f>
        <v>0</v>
      </c>
      <c r="D60" s="4">
        <f>[1]TruckNumbers!E63</f>
        <v>0</v>
      </c>
      <c r="E60" s="30">
        <f>[1]TruckNumbers!D63</f>
        <v>0</v>
      </c>
      <c r="F60" s="4">
        <f>[1]TruckNumbers!G63</f>
        <v>0</v>
      </c>
      <c r="G60">
        <f>[1]TruckNumbers!H63</f>
        <v>0</v>
      </c>
      <c r="H60" s="4">
        <f>[1]TruckNumbers!I63</f>
        <v>0</v>
      </c>
      <c r="I60" s="4">
        <f>[1]TruckNumbers!F63</f>
        <v>0</v>
      </c>
      <c r="J60" s="4">
        <f>[1]TruckNumbers!J63</f>
        <v>0</v>
      </c>
      <c r="K60" s="4">
        <f>[1]TruckNumbers!K63</f>
        <v>0</v>
      </c>
      <c r="L60" s="31">
        <f>[1]TruckNumbers!L63</f>
        <v>0</v>
      </c>
      <c r="M60">
        <f>[1]TruckNumbers!M63</f>
        <v>0</v>
      </c>
      <c r="N60">
        <f>[1]TruckNumbers!N63</f>
        <v>0</v>
      </c>
      <c r="O60" s="4">
        <f>[1]TruckNumbers!O63</f>
        <v>0</v>
      </c>
      <c r="P60" s="28">
        <f>[1]TruckNumbers!P63</f>
        <v>0</v>
      </c>
      <c r="Q60" s="4">
        <f>[1]TruckNumbers!Q63</f>
        <v>0</v>
      </c>
      <c r="R60" s="4">
        <f>[1]TruckNumbers!R63</f>
        <v>0</v>
      </c>
      <c r="S60" s="4">
        <f>[1]TruckNumbers!S63</f>
        <v>0</v>
      </c>
      <c r="T60" s="4">
        <f>[1]TruckNumbers!T63</f>
        <v>0</v>
      </c>
      <c r="U60">
        <f>[1]TruckNumbers!U63</f>
        <v>0</v>
      </c>
      <c r="V60">
        <f>[1]TruckNumbers!V63</f>
        <v>0</v>
      </c>
      <c r="W60">
        <f>[1]TruckNumbers!W63</f>
        <v>0</v>
      </c>
      <c r="X60">
        <f>[1]TruckNumbers!X63</f>
        <v>0</v>
      </c>
    </row>
    <row r="61" spans="1:24" x14ac:dyDescent="0.2">
      <c r="A61">
        <f>[1]TruckNumbers!A64</f>
        <v>0</v>
      </c>
      <c r="B61">
        <f>[1]TruckNumbers!B64</f>
        <v>0</v>
      </c>
      <c r="C61" s="29">
        <f>[1]TruckNumbers!C64</f>
        <v>0</v>
      </c>
      <c r="D61" s="4">
        <f>[1]TruckNumbers!E64</f>
        <v>0</v>
      </c>
      <c r="E61" s="30">
        <f>[1]TruckNumbers!D64</f>
        <v>0</v>
      </c>
      <c r="F61" s="4">
        <f>[1]TruckNumbers!G64</f>
        <v>0</v>
      </c>
      <c r="G61">
        <f>[1]TruckNumbers!H64</f>
        <v>0</v>
      </c>
      <c r="H61" s="4">
        <f>[1]TruckNumbers!I64</f>
        <v>0</v>
      </c>
      <c r="I61" s="4">
        <f>[1]TruckNumbers!F64</f>
        <v>0</v>
      </c>
      <c r="J61" s="4">
        <f>[1]TruckNumbers!J64</f>
        <v>0</v>
      </c>
      <c r="K61" s="4">
        <f>[1]TruckNumbers!K64</f>
        <v>0</v>
      </c>
      <c r="L61" s="31">
        <f>[1]TruckNumbers!L64</f>
        <v>0</v>
      </c>
      <c r="M61">
        <f>[1]TruckNumbers!M64</f>
        <v>0</v>
      </c>
      <c r="N61">
        <f>[1]TruckNumbers!N64</f>
        <v>0</v>
      </c>
      <c r="O61" s="4">
        <f>[1]TruckNumbers!O64</f>
        <v>0</v>
      </c>
      <c r="P61" s="28">
        <f>[1]TruckNumbers!P64</f>
        <v>0</v>
      </c>
      <c r="Q61" s="4">
        <f>[1]TruckNumbers!Q64</f>
        <v>0</v>
      </c>
      <c r="R61" s="4">
        <f>[1]TruckNumbers!R64</f>
        <v>0</v>
      </c>
      <c r="S61" s="4">
        <f>[1]TruckNumbers!S64</f>
        <v>0</v>
      </c>
      <c r="T61" s="4">
        <f>[1]TruckNumbers!T64</f>
        <v>0</v>
      </c>
      <c r="U61">
        <f>[1]TruckNumbers!U64</f>
        <v>0</v>
      </c>
      <c r="V61">
        <f>[1]TruckNumbers!V64</f>
        <v>0</v>
      </c>
      <c r="W61">
        <f>[1]TruckNumbers!W64</f>
        <v>0</v>
      </c>
      <c r="X61">
        <f>[1]TruckNumbers!X64</f>
        <v>0</v>
      </c>
    </row>
    <row r="62" spans="1:24" x14ac:dyDescent="0.2">
      <c r="A62">
        <f>[1]TruckNumbers!A65</f>
        <v>0</v>
      </c>
      <c r="B62">
        <f>[1]TruckNumbers!B65</f>
        <v>0</v>
      </c>
      <c r="C62" s="29">
        <f>[1]TruckNumbers!C65</f>
        <v>0</v>
      </c>
      <c r="D62" s="4">
        <f>[1]TruckNumbers!E65</f>
        <v>0</v>
      </c>
      <c r="E62" s="30">
        <f>[1]TruckNumbers!D65</f>
        <v>0</v>
      </c>
      <c r="F62" s="4">
        <f>[1]TruckNumbers!G65</f>
        <v>0</v>
      </c>
      <c r="G62">
        <f>[1]TruckNumbers!H65</f>
        <v>0</v>
      </c>
      <c r="H62" s="4">
        <f>[1]TruckNumbers!I65</f>
        <v>0</v>
      </c>
      <c r="I62" s="4">
        <f>[1]TruckNumbers!F65</f>
        <v>0</v>
      </c>
      <c r="J62" s="4">
        <f>[1]TruckNumbers!J65</f>
        <v>0</v>
      </c>
      <c r="K62" s="4">
        <f>[1]TruckNumbers!K65</f>
        <v>0</v>
      </c>
      <c r="L62" s="31">
        <f>[1]TruckNumbers!L65</f>
        <v>0</v>
      </c>
      <c r="M62">
        <f>[1]TruckNumbers!M65</f>
        <v>0</v>
      </c>
      <c r="N62">
        <f>[1]TruckNumbers!N65</f>
        <v>0</v>
      </c>
      <c r="O62" s="4">
        <f>[1]TruckNumbers!O65</f>
        <v>0</v>
      </c>
      <c r="P62" s="28">
        <f>[1]TruckNumbers!P65</f>
        <v>0</v>
      </c>
      <c r="Q62" s="4">
        <f>[1]TruckNumbers!Q65</f>
        <v>0</v>
      </c>
      <c r="R62" s="4">
        <f>[1]TruckNumbers!R65</f>
        <v>0</v>
      </c>
      <c r="S62" s="4">
        <f>[1]TruckNumbers!S65</f>
        <v>0</v>
      </c>
      <c r="T62" s="4">
        <f>[1]TruckNumbers!T65</f>
        <v>0</v>
      </c>
      <c r="U62">
        <f>[1]TruckNumbers!U65</f>
        <v>0</v>
      </c>
      <c r="V62">
        <f>[1]TruckNumbers!V65</f>
        <v>0</v>
      </c>
      <c r="W62">
        <f>[1]TruckNumbers!W65</f>
        <v>0</v>
      </c>
      <c r="X62">
        <f>[1]TruckNumbers!X65</f>
        <v>0</v>
      </c>
    </row>
    <row r="63" spans="1:24" x14ac:dyDescent="0.2">
      <c r="A63">
        <f>[1]TruckNumbers!A66</f>
        <v>0</v>
      </c>
      <c r="B63">
        <f>[1]TruckNumbers!B66</f>
        <v>0</v>
      </c>
      <c r="C63" s="29">
        <f>[1]TruckNumbers!C66</f>
        <v>0</v>
      </c>
      <c r="D63" s="4">
        <f>[1]TruckNumbers!E66</f>
        <v>0</v>
      </c>
      <c r="E63" s="30">
        <f>[1]TruckNumbers!D66</f>
        <v>0</v>
      </c>
      <c r="F63" s="4">
        <f>[1]TruckNumbers!G66</f>
        <v>0</v>
      </c>
      <c r="G63">
        <f>[1]TruckNumbers!H66</f>
        <v>0</v>
      </c>
      <c r="H63" s="4">
        <f>[1]TruckNumbers!I66</f>
        <v>0</v>
      </c>
      <c r="I63" s="4">
        <f>[1]TruckNumbers!F66</f>
        <v>0</v>
      </c>
      <c r="J63" s="4">
        <f>[1]TruckNumbers!J66</f>
        <v>0</v>
      </c>
      <c r="K63" s="4">
        <f>[1]TruckNumbers!K66</f>
        <v>0</v>
      </c>
      <c r="L63" s="31">
        <f>[1]TruckNumbers!L66</f>
        <v>0</v>
      </c>
      <c r="M63">
        <f>[1]TruckNumbers!M66</f>
        <v>0</v>
      </c>
      <c r="N63">
        <f>[1]TruckNumbers!N66</f>
        <v>0</v>
      </c>
      <c r="O63" s="4">
        <f>[1]TruckNumbers!O66</f>
        <v>0</v>
      </c>
      <c r="P63" s="28">
        <f>[1]TruckNumbers!P66</f>
        <v>0</v>
      </c>
      <c r="Q63" s="4">
        <f>[1]TruckNumbers!Q66</f>
        <v>0</v>
      </c>
      <c r="R63" s="4">
        <f>[1]TruckNumbers!R66</f>
        <v>0</v>
      </c>
      <c r="S63" s="4">
        <f>[1]TruckNumbers!S66</f>
        <v>0</v>
      </c>
      <c r="T63" s="4">
        <f>[1]TruckNumbers!T66</f>
        <v>0</v>
      </c>
      <c r="U63">
        <f>[1]TruckNumbers!U66</f>
        <v>0</v>
      </c>
      <c r="V63">
        <f>[1]TruckNumbers!V66</f>
        <v>0</v>
      </c>
      <c r="W63">
        <f>[1]TruckNumbers!W66</f>
        <v>0</v>
      </c>
      <c r="X63">
        <f>[1]TruckNumbers!X66</f>
        <v>0</v>
      </c>
    </row>
    <row r="64" spans="1:24" x14ac:dyDescent="0.2">
      <c r="A64">
        <f>[1]TruckNumbers!A67</f>
        <v>0</v>
      </c>
      <c r="B64">
        <f>[1]TruckNumbers!B67</f>
        <v>0</v>
      </c>
      <c r="C64" s="29">
        <f>[1]TruckNumbers!C67</f>
        <v>0</v>
      </c>
      <c r="D64" s="4">
        <f>[1]TruckNumbers!E67</f>
        <v>0</v>
      </c>
      <c r="E64" s="30">
        <f>[1]TruckNumbers!D67</f>
        <v>0</v>
      </c>
      <c r="F64" s="4">
        <f>[1]TruckNumbers!G67</f>
        <v>0</v>
      </c>
      <c r="G64">
        <f>[1]TruckNumbers!H67</f>
        <v>0</v>
      </c>
      <c r="H64" s="4">
        <f>[1]TruckNumbers!I67</f>
        <v>0</v>
      </c>
      <c r="I64" s="4">
        <f>[1]TruckNumbers!F67</f>
        <v>0</v>
      </c>
      <c r="J64" s="4">
        <f>[1]TruckNumbers!J67</f>
        <v>0</v>
      </c>
      <c r="K64" s="4">
        <f>[1]TruckNumbers!K67</f>
        <v>0</v>
      </c>
      <c r="L64" s="31">
        <f>[1]TruckNumbers!L67</f>
        <v>0</v>
      </c>
      <c r="M64">
        <f>[1]TruckNumbers!M67</f>
        <v>0</v>
      </c>
      <c r="N64">
        <f>[1]TruckNumbers!N67</f>
        <v>0</v>
      </c>
      <c r="O64" s="4">
        <f>[1]TruckNumbers!O67</f>
        <v>0</v>
      </c>
      <c r="P64" s="28">
        <f>[1]TruckNumbers!P67</f>
        <v>0</v>
      </c>
      <c r="Q64" s="4">
        <f>[1]TruckNumbers!Q67</f>
        <v>0</v>
      </c>
      <c r="R64" s="4">
        <f>[1]TruckNumbers!R67</f>
        <v>0</v>
      </c>
      <c r="S64" s="4">
        <f>[1]TruckNumbers!S67</f>
        <v>0</v>
      </c>
      <c r="T64" s="4">
        <f>[1]TruckNumbers!T67</f>
        <v>0</v>
      </c>
      <c r="U64">
        <f>[1]TruckNumbers!U67</f>
        <v>0</v>
      </c>
      <c r="V64">
        <f>[1]TruckNumbers!V67</f>
        <v>0</v>
      </c>
      <c r="W64">
        <f>[1]TruckNumbers!W67</f>
        <v>0</v>
      </c>
      <c r="X64">
        <f>[1]TruckNumbers!X67</f>
        <v>0</v>
      </c>
    </row>
    <row r="65" spans="1:24" x14ac:dyDescent="0.2">
      <c r="A65">
        <f>[1]TruckNumbers!A68</f>
        <v>0</v>
      </c>
      <c r="B65">
        <f>[1]TruckNumbers!B68</f>
        <v>0</v>
      </c>
      <c r="C65" s="29">
        <f>[1]TruckNumbers!C68</f>
        <v>0</v>
      </c>
      <c r="D65" s="4">
        <f>[1]TruckNumbers!E68</f>
        <v>0</v>
      </c>
      <c r="E65" s="30">
        <f>[1]TruckNumbers!D68</f>
        <v>0</v>
      </c>
      <c r="F65" s="4">
        <f>[1]TruckNumbers!G68</f>
        <v>0</v>
      </c>
      <c r="G65">
        <f>[1]TruckNumbers!H68</f>
        <v>0</v>
      </c>
      <c r="H65" s="4">
        <f>[1]TruckNumbers!I68</f>
        <v>0</v>
      </c>
      <c r="I65" s="4">
        <f>[1]TruckNumbers!F68</f>
        <v>0</v>
      </c>
      <c r="J65" s="4">
        <f>[1]TruckNumbers!J68</f>
        <v>0</v>
      </c>
      <c r="K65" s="4">
        <f>[1]TruckNumbers!K68</f>
        <v>0</v>
      </c>
      <c r="L65" s="31">
        <f>[1]TruckNumbers!L68</f>
        <v>0</v>
      </c>
      <c r="M65">
        <f>[1]TruckNumbers!M68</f>
        <v>0</v>
      </c>
      <c r="N65">
        <f>[1]TruckNumbers!N68</f>
        <v>0</v>
      </c>
      <c r="O65" s="4">
        <f>[1]TruckNumbers!O68</f>
        <v>0</v>
      </c>
      <c r="P65" s="28">
        <f>[1]TruckNumbers!P68</f>
        <v>0</v>
      </c>
      <c r="Q65" s="4">
        <f>[1]TruckNumbers!Q68</f>
        <v>0</v>
      </c>
      <c r="R65" s="4">
        <f>[1]TruckNumbers!R68</f>
        <v>0</v>
      </c>
      <c r="S65" s="4">
        <f>[1]TruckNumbers!S68</f>
        <v>0</v>
      </c>
      <c r="T65" s="4">
        <f>[1]TruckNumbers!T68</f>
        <v>0</v>
      </c>
      <c r="U65">
        <f>[1]TruckNumbers!U68</f>
        <v>0</v>
      </c>
      <c r="V65">
        <f>[1]TruckNumbers!V68</f>
        <v>0</v>
      </c>
      <c r="W65">
        <f>[1]TruckNumbers!W68</f>
        <v>0</v>
      </c>
      <c r="X65">
        <f>[1]TruckNumbers!X68</f>
        <v>0</v>
      </c>
    </row>
    <row r="66" spans="1:24" x14ac:dyDescent="0.2">
      <c r="A66">
        <f>[1]TruckNumbers!A69</f>
        <v>0</v>
      </c>
      <c r="B66">
        <f>[1]TruckNumbers!B69</f>
        <v>0</v>
      </c>
      <c r="C66" s="29">
        <f>[1]TruckNumbers!C69</f>
        <v>0</v>
      </c>
      <c r="D66" s="4">
        <f>[1]TruckNumbers!E69</f>
        <v>0</v>
      </c>
      <c r="E66" s="30">
        <f>[1]TruckNumbers!D69</f>
        <v>0</v>
      </c>
      <c r="F66" s="4">
        <f>[1]TruckNumbers!G69</f>
        <v>0</v>
      </c>
      <c r="G66">
        <f>[1]TruckNumbers!H69</f>
        <v>0</v>
      </c>
      <c r="H66" s="4">
        <f>[1]TruckNumbers!I69</f>
        <v>0</v>
      </c>
      <c r="I66" s="4">
        <f>[1]TruckNumbers!F69</f>
        <v>0</v>
      </c>
      <c r="J66" s="4">
        <f>[1]TruckNumbers!J69</f>
        <v>0</v>
      </c>
      <c r="K66" s="4">
        <f>[1]TruckNumbers!K69</f>
        <v>0</v>
      </c>
      <c r="L66" s="31">
        <f>[1]TruckNumbers!L69</f>
        <v>0</v>
      </c>
      <c r="M66">
        <f>[1]TruckNumbers!M69</f>
        <v>0</v>
      </c>
      <c r="N66">
        <f>[1]TruckNumbers!N69</f>
        <v>0</v>
      </c>
      <c r="O66" s="4">
        <f>[1]TruckNumbers!O69</f>
        <v>0</v>
      </c>
      <c r="P66" s="28">
        <f>[1]TruckNumbers!P69</f>
        <v>0</v>
      </c>
      <c r="Q66" s="4">
        <f>[1]TruckNumbers!Q69</f>
        <v>0</v>
      </c>
      <c r="R66" s="4">
        <f>[1]TruckNumbers!R69</f>
        <v>0</v>
      </c>
      <c r="S66" s="4">
        <f>[1]TruckNumbers!S69</f>
        <v>0</v>
      </c>
      <c r="T66" s="4">
        <f>[1]TruckNumbers!T69</f>
        <v>0</v>
      </c>
      <c r="U66">
        <f>[1]TruckNumbers!U69</f>
        <v>0</v>
      </c>
      <c r="V66">
        <f>[1]TruckNumbers!V69</f>
        <v>0</v>
      </c>
      <c r="W66">
        <f>[1]TruckNumbers!W69</f>
        <v>0</v>
      </c>
      <c r="X66">
        <f>[1]TruckNumbers!X69</f>
        <v>0</v>
      </c>
    </row>
    <row r="67" spans="1:24" x14ac:dyDescent="0.2">
      <c r="A67">
        <f>[1]TruckNumbers!A70</f>
        <v>0</v>
      </c>
      <c r="B67">
        <f>[1]TruckNumbers!B70</f>
        <v>0</v>
      </c>
      <c r="C67" s="29">
        <f>[1]TruckNumbers!C70</f>
        <v>0</v>
      </c>
      <c r="D67" s="4">
        <f>[1]TruckNumbers!E70</f>
        <v>0</v>
      </c>
      <c r="E67" s="30">
        <f>[1]TruckNumbers!D70</f>
        <v>0</v>
      </c>
      <c r="F67" s="4">
        <f>[1]TruckNumbers!G70</f>
        <v>0</v>
      </c>
      <c r="G67">
        <f>[1]TruckNumbers!H70</f>
        <v>0</v>
      </c>
      <c r="H67" s="4">
        <f>[1]TruckNumbers!I70</f>
        <v>0</v>
      </c>
      <c r="I67" s="4">
        <f>[1]TruckNumbers!F70</f>
        <v>0</v>
      </c>
      <c r="J67" s="4">
        <f>[1]TruckNumbers!J70</f>
        <v>0</v>
      </c>
      <c r="K67" s="4">
        <f>[1]TruckNumbers!K70</f>
        <v>0</v>
      </c>
      <c r="L67" s="31">
        <f>[1]TruckNumbers!L70</f>
        <v>0</v>
      </c>
      <c r="M67">
        <f>[1]TruckNumbers!M70</f>
        <v>0</v>
      </c>
      <c r="N67">
        <f>[1]TruckNumbers!N70</f>
        <v>0</v>
      </c>
      <c r="O67" s="4">
        <f>[1]TruckNumbers!O70</f>
        <v>0</v>
      </c>
      <c r="P67" s="28">
        <f>[1]TruckNumbers!P70</f>
        <v>0</v>
      </c>
      <c r="Q67" s="4">
        <f>[1]TruckNumbers!Q70</f>
        <v>0</v>
      </c>
      <c r="R67" s="4">
        <f>[1]TruckNumbers!R70</f>
        <v>0</v>
      </c>
      <c r="S67" s="4">
        <f>[1]TruckNumbers!S70</f>
        <v>0</v>
      </c>
      <c r="T67" s="4">
        <f>[1]TruckNumbers!T70</f>
        <v>0</v>
      </c>
      <c r="U67">
        <f>[1]TruckNumbers!U70</f>
        <v>0</v>
      </c>
      <c r="V67">
        <f>[1]TruckNumbers!V70</f>
        <v>0</v>
      </c>
      <c r="W67">
        <f>[1]TruckNumbers!W70</f>
        <v>0</v>
      </c>
      <c r="X67">
        <f>[1]TruckNumbers!X70</f>
        <v>0</v>
      </c>
    </row>
    <row r="68" spans="1:24" x14ac:dyDescent="0.2">
      <c r="A68">
        <f>[1]TruckNumbers!A71</f>
        <v>0</v>
      </c>
      <c r="B68">
        <f>[1]TruckNumbers!B71</f>
        <v>0</v>
      </c>
      <c r="C68" s="29">
        <f>[1]TruckNumbers!C71</f>
        <v>0</v>
      </c>
      <c r="D68" s="4">
        <f>[1]TruckNumbers!E71</f>
        <v>0</v>
      </c>
      <c r="E68" s="30">
        <f>[1]TruckNumbers!D71</f>
        <v>0</v>
      </c>
      <c r="F68" s="4">
        <f>[1]TruckNumbers!G71</f>
        <v>0</v>
      </c>
      <c r="G68">
        <f>[1]TruckNumbers!H71</f>
        <v>0</v>
      </c>
      <c r="H68" s="4">
        <f>[1]TruckNumbers!I71</f>
        <v>0</v>
      </c>
      <c r="I68" s="4">
        <f>[1]TruckNumbers!F71</f>
        <v>0</v>
      </c>
      <c r="J68" s="4">
        <f>[1]TruckNumbers!J71</f>
        <v>0</v>
      </c>
      <c r="K68" s="4">
        <f>[1]TruckNumbers!K71</f>
        <v>0</v>
      </c>
      <c r="L68" s="31">
        <f>[1]TruckNumbers!L71</f>
        <v>0</v>
      </c>
      <c r="M68">
        <f>[1]TruckNumbers!M71</f>
        <v>0</v>
      </c>
      <c r="N68">
        <f>[1]TruckNumbers!N71</f>
        <v>0</v>
      </c>
      <c r="O68" s="4">
        <f>[1]TruckNumbers!O71</f>
        <v>0</v>
      </c>
      <c r="P68" s="28">
        <f>[1]TruckNumbers!P71</f>
        <v>0</v>
      </c>
      <c r="Q68" s="4">
        <f>[1]TruckNumbers!Q71</f>
        <v>0</v>
      </c>
      <c r="R68" s="4">
        <f>[1]TruckNumbers!R71</f>
        <v>0</v>
      </c>
      <c r="S68" s="4">
        <f>[1]TruckNumbers!S71</f>
        <v>0</v>
      </c>
      <c r="T68" s="4">
        <f>[1]TruckNumbers!T71</f>
        <v>0</v>
      </c>
      <c r="U68">
        <f>[1]TruckNumbers!U71</f>
        <v>0</v>
      </c>
      <c r="V68">
        <f>[1]TruckNumbers!V71</f>
        <v>0</v>
      </c>
      <c r="W68">
        <f>[1]TruckNumbers!W71</f>
        <v>0</v>
      </c>
      <c r="X68">
        <f>[1]TruckNumbers!X71</f>
        <v>0</v>
      </c>
    </row>
    <row r="69" spans="1:24" x14ac:dyDescent="0.2">
      <c r="A69">
        <f>[1]TruckNumbers!A72</f>
        <v>0</v>
      </c>
      <c r="B69">
        <f>[1]TruckNumbers!B72</f>
        <v>0</v>
      </c>
      <c r="C69" s="29">
        <f>[1]TruckNumbers!C72</f>
        <v>0</v>
      </c>
      <c r="D69" s="4">
        <f>[1]TruckNumbers!E72</f>
        <v>0</v>
      </c>
      <c r="E69" s="30">
        <f>[1]TruckNumbers!D72</f>
        <v>0</v>
      </c>
      <c r="F69" s="4">
        <f>[1]TruckNumbers!G72</f>
        <v>0</v>
      </c>
      <c r="G69">
        <f>[1]TruckNumbers!H72</f>
        <v>0</v>
      </c>
      <c r="H69" s="4">
        <f>[1]TruckNumbers!I72</f>
        <v>0</v>
      </c>
      <c r="I69" s="4">
        <f>[1]TruckNumbers!F72</f>
        <v>0</v>
      </c>
      <c r="J69" s="4">
        <f>[1]TruckNumbers!J72</f>
        <v>0</v>
      </c>
      <c r="K69" s="4">
        <f>[1]TruckNumbers!K72</f>
        <v>0</v>
      </c>
      <c r="L69" s="31">
        <f>[1]TruckNumbers!L72</f>
        <v>0</v>
      </c>
      <c r="M69">
        <f>[1]TruckNumbers!M72</f>
        <v>0</v>
      </c>
      <c r="N69">
        <f>[1]TruckNumbers!N72</f>
        <v>0</v>
      </c>
      <c r="O69" s="4">
        <f>[1]TruckNumbers!O72</f>
        <v>0</v>
      </c>
      <c r="P69" s="28">
        <f>[1]TruckNumbers!P72</f>
        <v>0</v>
      </c>
      <c r="Q69" s="4">
        <f>[1]TruckNumbers!Q72</f>
        <v>0</v>
      </c>
      <c r="R69" s="4">
        <f>[1]TruckNumbers!R72</f>
        <v>0</v>
      </c>
      <c r="S69" s="4">
        <f>[1]TruckNumbers!S72</f>
        <v>0</v>
      </c>
      <c r="T69" s="4">
        <f>[1]TruckNumbers!T72</f>
        <v>0</v>
      </c>
      <c r="U69">
        <f>[1]TruckNumbers!U72</f>
        <v>0</v>
      </c>
      <c r="V69">
        <f>[1]TruckNumbers!V72</f>
        <v>0</v>
      </c>
      <c r="W69">
        <f>[1]TruckNumbers!W72</f>
        <v>0</v>
      </c>
      <c r="X69">
        <f>[1]TruckNumbers!X72</f>
        <v>0</v>
      </c>
    </row>
    <row r="70" spans="1:24" x14ac:dyDescent="0.2">
      <c r="A70">
        <f>[1]TruckNumbers!A73</f>
        <v>0</v>
      </c>
      <c r="B70">
        <f>[1]TruckNumbers!B73</f>
        <v>0</v>
      </c>
      <c r="C70" s="29">
        <f>[1]TruckNumbers!C73</f>
        <v>0</v>
      </c>
      <c r="D70" s="4">
        <f>[1]TruckNumbers!E73</f>
        <v>0</v>
      </c>
      <c r="E70" s="30">
        <f>[1]TruckNumbers!D73</f>
        <v>0</v>
      </c>
      <c r="F70" s="4">
        <f>[1]TruckNumbers!G73</f>
        <v>0</v>
      </c>
      <c r="G70">
        <f>[1]TruckNumbers!H73</f>
        <v>0</v>
      </c>
      <c r="H70" s="4">
        <f>[1]TruckNumbers!I73</f>
        <v>0</v>
      </c>
      <c r="I70" s="4">
        <f>[1]TruckNumbers!F73</f>
        <v>0</v>
      </c>
      <c r="J70" s="4">
        <f>[1]TruckNumbers!J73</f>
        <v>0</v>
      </c>
      <c r="K70" s="4">
        <f>[1]TruckNumbers!K73</f>
        <v>0</v>
      </c>
      <c r="L70" s="31">
        <f>[1]TruckNumbers!L73</f>
        <v>0</v>
      </c>
      <c r="M70">
        <f>[1]TruckNumbers!M73</f>
        <v>0</v>
      </c>
      <c r="N70">
        <f>[1]TruckNumbers!N73</f>
        <v>0</v>
      </c>
      <c r="O70" s="4">
        <f>[1]TruckNumbers!O73</f>
        <v>0</v>
      </c>
      <c r="P70" s="28">
        <f>[1]TruckNumbers!P73</f>
        <v>0</v>
      </c>
      <c r="Q70" s="4">
        <f>[1]TruckNumbers!Q73</f>
        <v>0</v>
      </c>
      <c r="R70" s="4">
        <f>[1]TruckNumbers!R73</f>
        <v>0</v>
      </c>
      <c r="S70" s="4">
        <f>[1]TruckNumbers!S73</f>
        <v>0</v>
      </c>
      <c r="T70" s="4">
        <f>[1]TruckNumbers!T73</f>
        <v>0</v>
      </c>
      <c r="U70">
        <f>[1]TruckNumbers!U73</f>
        <v>0</v>
      </c>
      <c r="V70">
        <f>[1]TruckNumbers!V73</f>
        <v>0</v>
      </c>
      <c r="W70">
        <f>[1]TruckNumbers!W73</f>
        <v>0</v>
      </c>
      <c r="X70">
        <f>[1]TruckNumbers!X73</f>
        <v>0</v>
      </c>
    </row>
    <row r="71" spans="1:24" x14ac:dyDescent="0.2">
      <c r="A71">
        <f>[1]TruckNumbers!A74</f>
        <v>0</v>
      </c>
      <c r="B71">
        <f>[1]TruckNumbers!B74</f>
        <v>0</v>
      </c>
      <c r="C71" s="29">
        <f>[1]TruckNumbers!C74</f>
        <v>0</v>
      </c>
      <c r="D71" s="4">
        <f>[1]TruckNumbers!E74</f>
        <v>0</v>
      </c>
      <c r="E71" s="30">
        <f>[1]TruckNumbers!D74</f>
        <v>0</v>
      </c>
      <c r="F71" s="4">
        <f>[1]TruckNumbers!G74</f>
        <v>0</v>
      </c>
      <c r="G71">
        <f>[1]TruckNumbers!H74</f>
        <v>0</v>
      </c>
      <c r="H71" s="4">
        <f>[1]TruckNumbers!I74</f>
        <v>0</v>
      </c>
      <c r="I71" s="4">
        <f>[1]TruckNumbers!F74</f>
        <v>0</v>
      </c>
      <c r="J71" s="4">
        <f>[1]TruckNumbers!J74</f>
        <v>0</v>
      </c>
      <c r="K71" s="4">
        <f>[1]TruckNumbers!K74</f>
        <v>0</v>
      </c>
      <c r="L71" s="31">
        <f>[1]TruckNumbers!L74</f>
        <v>0</v>
      </c>
      <c r="M71">
        <f>[1]TruckNumbers!M74</f>
        <v>0</v>
      </c>
      <c r="N71">
        <f>[1]TruckNumbers!N74</f>
        <v>0</v>
      </c>
      <c r="O71" s="4">
        <f>[1]TruckNumbers!O74</f>
        <v>0</v>
      </c>
      <c r="P71" s="28">
        <f>[1]TruckNumbers!P74</f>
        <v>0</v>
      </c>
      <c r="Q71" s="4">
        <f>[1]TruckNumbers!Q74</f>
        <v>0</v>
      </c>
      <c r="R71" s="4">
        <f>[1]TruckNumbers!R74</f>
        <v>0</v>
      </c>
      <c r="S71" s="4">
        <f>[1]TruckNumbers!S74</f>
        <v>0</v>
      </c>
      <c r="T71" s="4">
        <f>[1]TruckNumbers!T74</f>
        <v>0</v>
      </c>
      <c r="U71">
        <f>[1]TruckNumbers!U74</f>
        <v>0</v>
      </c>
      <c r="V71">
        <f>[1]TruckNumbers!V74</f>
        <v>0</v>
      </c>
      <c r="W71">
        <f>[1]TruckNumbers!W74</f>
        <v>0</v>
      </c>
      <c r="X71">
        <f>[1]TruckNumbers!X74</f>
        <v>0</v>
      </c>
    </row>
    <row r="72" spans="1:24" x14ac:dyDescent="0.2">
      <c r="A72">
        <f>[1]TruckNumbers!A75</f>
        <v>0</v>
      </c>
      <c r="B72">
        <f>[1]TruckNumbers!B75</f>
        <v>0</v>
      </c>
      <c r="C72" s="29">
        <f>[1]TruckNumbers!C75</f>
        <v>0</v>
      </c>
      <c r="D72" s="4">
        <f>[1]TruckNumbers!E75</f>
        <v>0</v>
      </c>
      <c r="E72" s="30">
        <f>[1]TruckNumbers!D75</f>
        <v>0</v>
      </c>
      <c r="F72" s="4">
        <f>[1]TruckNumbers!G75</f>
        <v>0</v>
      </c>
      <c r="G72">
        <f>[1]TruckNumbers!H75</f>
        <v>0</v>
      </c>
      <c r="H72" s="4">
        <f>[1]TruckNumbers!I75</f>
        <v>0</v>
      </c>
      <c r="I72" s="4">
        <f>[1]TruckNumbers!F75</f>
        <v>0</v>
      </c>
      <c r="J72" s="4">
        <f>[1]TruckNumbers!J75</f>
        <v>0</v>
      </c>
      <c r="K72" s="4">
        <f>[1]TruckNumbers!K75</f>
        <v>0</v>
      </c>
      <c r="L72" s="31">
        <f>[1]TruckNumbers!L75</f>
        <v>0</v>
      </c>
      <c r="M72">
        <f>[1]TruckNumbers!M75</f>
        <v>0</v>
      </c>
      <c r="N72">
        <f>[1]TruckNumbers!N75</f>
        <v>0</v>
      </c>
      <c r="O72" s="4">
        <f>[1]TruckNumbers!O75</f>
        <v>0</v>
      </c>
      <c r="P72" s="28">
        <f>[1]TruckNumbers!P75</f>
        <v>0</v>
      </c>
      <c r="Q72" s="4">
        <f>[1]TruckNumbers!Q75</f>
        <v>0</v>
      </c>
      <c r="R72" s="4">
        <f>[1]TruckNumbers!R75</f>
        <v>0</v>
      </c>
      <c r="S72" s="4">
        <f>[1]TruckNumbers!S75</f>
        <v>0</v>
      </c>
      <c r="T72" s="4">
        <f>[1]TruckNumbers!T75</f>
        <v>0</v>
      </c>
      <c r="U72">
        <f>[1]TruckNumbers!U75</f>
        <v>0</v>
      </c>
      <c r="V72">
        <f>[1]TruckNumbers!V75</f>
        <v>0</v>
      </c>
      <c r="W72">
        <f>[1]TruckNumbers!W75</f>
        <v>0</v>
      </c>
      <c r="X72">
        <f>[1]TruckNumbers!X75</f>
        <v>0</v>
      </c>
    </row>
    <row r="73" spans="1:24" x14ac:dyDescent="0.2">
      <c r="A73">
        <f>[1]TruckNumbers!A76</f>
        <v>0</v>
      </c>
      <c r="B73">
        <f>[1]TruckNumbers!B76</f>
        <v>0</v>
      </c>
      <c r="C73" s="29">
        <f>[1]TruckNumbers!C76</f>
        <v>0</v>
      </c>
      <c r="D73" s="4">
        <f>[1]TruckNumbers!E76</f>
        <v>0</v>
      </c>
      <c r="E73" s="30">
        <f>[1]TruckNumbers!D76</f>
        <v>0</v>
      </c>
      <c r="F73" s="4">
        <f>[1]TruckNumbers!G76</f>
        <v>0</v>
      </c>
      <c r="G73">
        <f>[1]TruckNumbers!H76</f>
        <v>0</v>
      </c>
      <c r="H73" s="4">
        <f>[1]TruckNumbers!I76</f>
        <v>0</v>
      </c>
      <c r="I73" s="4">
        <f>[1]TruckNumbers!F76</f>
        <v>0</v>
      </c>
      <c r="J73" s="4">
        <f>[1]TruckNumbers!J76</f>
        <v>0</v>
      </c>
      <c r="K73" s="4">
        <f>[1]TruckNumbers!K76</f>
        <v>0</v>
      </c>
      <c r="L73" s="31">
        <f>[1]TruckNumbers!L76</f>
        <v>0</v>
      </c>
      <c r="M73">
        <f>[1]TruckNumbers!M76</f>
        <v>0</v>
      </c>
      <c r="N73">
        <f>[1]TruckNumbers!N76</f>
        <v>0</v>
      </c>
      <c r="O73" s="4">
        <f>[1]TruckNumbers!O76</f>
        <v>0</v>
      </c>
      <c r="P73" s="28">
        <f>[1]TruckNumbers!P76</f>
        <v>0</v>
      </c>
      <c r="Q73" s="4">
        <f>[1]TruckNumbers!Q76</f>
        <v>0</v>
      </c>
      <c r="R73" s="4">
        <f>[1]TruckNumbers!R76</f>
        <v>0</v>
      </c>
      <c r="S73" s="4">
        <f>[1]TruckNumbers!S76</f>
        <v>0</v>
      </c>
      <c r="T73" s="4">
        <f>[1]TruckNumbers!T76</f>
        <v>0</v>
      </c>
      <c r="U73">
        <f>[1]TruckNumbers!U76</f>
        <v>0</v>
      </c>
      <c r="V73">
        <f>[1]TruckNumbers!V76</f>
        <v>0</v>
      </c>
      <c r="W73">
        <f>[1]TruckNumbers!W76</f>
        <v>0</v>
      </c>
      <c r="X73">
        <f>[1]TruckNumbers!X76</f>
        <v>0</v>
      </c>
    </row>
    <row r="74" spans="1:24" x14ac:dyDescent="0.2">
      <c r="A74">
        <f>[1]TruckNumbers!A77</f>
        <v>0</v>
      </c>
      <c r="B74">
        <f>[1]TruckNumbers!B77</f>
        <v>0</v>
      </c>
      <c r="C74" s="29">
        <f>[1]TruckNumbers!C77</f>
        <v>0</v>
      </c>
      <c r="D74" s="4">
        <f>[1]TruckNumbers!E77</f>
        <v>0</v>
      </c>
      <c r="E74" s="30">
        <f>[1]TruckNumbers!D77</f>
        <v>0</v>
      </c>
      <c r="F74" s="4">
        <f>[1]TruckNumbers!G77</f>
        <v>0</v>
      </c>
      <c r="G74">
        <f>[1]TruckNumbers!H77</f>
        <v>0</v>
      </c>
      <c r="H74" s="4">
        <f>[1]TruckNumbers!I77</f>
        <v>0</v>
      </c>
      <c r="I74" s="4">
        <f>[1]TruckNumbers!F77</f>
        <v>0</v>
      </c>
      <c r="J74" s="4">
        <f>[1]TruckNumbers!J77</f>
        <v>0</v>
      </c>
      <c r="K74" s="4">
        <f>[1]TruckNumbers!K77</f>
        <v>0</v>
      </c>
      <c r="L74" s="31">
        <f>[1]TruckNumbers!L77</f>
        <v>0</v>
      </c>
      <c r="M74">
        <f>[1]TruckNumbers!M77</f>
        <v>0</v>
      </c>
      <c r="N74">
        <f>[1]TruckNumbers!N77</f>
        <v>0</v>
      </c>
      <c r="O74" s="4">
        <f>[1]TruckNumbers!O77</f>
        <v>0</v>
      </c>
      <c r="P74" s="28">
        <f>[1]TruckNumbers!P77</f>
        <v>0</v>
      </c>
      <c r="Q74" s="4">
        <f>[1]TruckNumbers!Q77</f>
        <v>0</v>
      </c>
      <c r="R74" s="4">
        <f>[1]TruckNumbers!R77</f>
        <v>0</v>
      </c>
      <c r="S74" s="4">
        <f>[1]TruckNumbers!S77</f>
        <v>0</v>
      </c>
      <c r="T74" s="4">
        <f>[1]TruckNumbers!T77</f>
        <v>0</v>
      </c>
      <c r="U74">
        <f>[1]TruckNumbers!U77</f>
        <v>0</v>
      </c>
      <c r="V74">
        <f>[1]TruckNumbers!V77</f>
        <v>0</v>
      </c>
      <c r="W74">
        <f>[1]TruckNumbers!W77</f>
        <v>0</v>
      </c>
      <c r="X74">
        <f>[1]TruckNumbers!X77</f>
        <v>0</v>
      </c>
    </row>
    <row r="75" spans="1:24" x14ac:dyDescent="0.2">
      <c r="A75">
        <f>[1]TruckNumbers!A78</f>
        <v>0</v>
      </c>
      <c r="B75">
        <f>[1]TruckNumbers!B78</f>
        <v>0</v>
      </c>
      <c r="C75" s="29">
        <f>[1]TruckNumbers!C78</f>
        <v>0</v>
      </c>
      <c r="D75" s="4">
        <f>[1]TruckNumbers!E78</f>
        <v>0</v>
      </c>
      <c r="E75" s="30">
        <f>[1]TruckNumbers!D78</f>
        <v>0</v>
      </c>
      <c r="F75" s="4">
        <f>[1]TruckNumbers!G78</f>
        <v>0</v>
      </c>
      <c r="G75">
        <f>[1]TruckNumbers!H78</f>
        <v>0</v>
      </c>
      <c r="H75" s="4">
        <f>[1]TruckNumbers!I78</f>
        <v>0</v>
      </c>
      <c r="I75" s="4">
        <f>[1]TruckNumbers!F78</f>
        <v>0</v>
      </c>
      <c r="J75" s="4">
        <f>[1]TruckNumbers!J78</f>
        <v>0</v>
      </c>
      <c r="K75" s="4">
        <f>[1]TruckNumbers!K78</f>
        <v>0</v>
      </c>
      <c r="L75" s="31">
        <f>[1]TruckNumbers!L78</f>
        <v>0</v>
      </c>
      <c r="M75">
        <f>[1]TruckNumbers!M78</f>
        <v>0</v>
      </c>
      <c r="N75">
        <f>[1]TruckNumbers!N78</f>
        <v>0</v>
      </c>
      <c r="O75" s="4">
        <f>[1]TruckNumbers!O78</f>
        <v>0</v>
      </c>
      <c r="P75" s="28">
        <f>[1]TruckNumbers!P78</f>
        <v>0</v>
      </c>
      <c r="Q75" s="4">
        <f>[1]TruckNumbers!Q78</f>
        <v>0</v>
      </c>
      <c r="R75" s="4">
        <f>[1]TruckNumbers!R78</f>
        <v>0</v>
      </c>
      <c r="S75" s="4">
        <f>[1]TruckNumbers!S78</f>
        <v>0</v>
      </c>
      <c r="T75" s="4">
        <f>[1]TruckNumbers!T78</f>
        <v>0</v>
      </c>
      <c r="U75">
        <f>[1]TruckNumbers!U78</f>
        <v>0</v>
      </c>
      <c r="V75">
        <f>[1]TruckNumbers!V78</f>
        <v>0</v>
      </c>
      <c r="W75">
        <f>[1]TruckNumbers!W78</f>
        <v>0</v>
      </c>
      <c r="X75">
        <f>[1]TruckNumbers!X78</f>
        <v>0</v>
      </c>
    </row>
    <row r="76" spans="1:24" x14ac:dyDescent="0.2">
      <c r="A76">
        <f>[1]TruckNumbers!A79</f>
        <v>0</v>
      </c>
      <c r="B76">
        <f>[1]TruckNumbers!B79</f>
        <v>0</v>
      </c>
      <c r="C76" s="29">
        <f>[1]TruckNumbers!C79</f>
        <v>0</v>
      </c>
      <c r="D76" s="4">
        <f>[1]TruckNumbers!E79</f>
        <v>0</v>
      </c>
      <c r="E76" s="30">
        <f>[1]TruckNumbers!D79</f>
        <v>0</v>
      </c>
      <c r="F76" s="4">
        <f>[1]TruckNumbers!G79</f>
        <v>0</v>
      </c>
      <c r="G76">
        <f>[1]TruckNumbers!H79</f>
        <v>0</v>
      </c>
      <c r="H76" s="4">
        <f>[1]TruckNumbers!I79</f>
        <v>0</v>
      </c>
      <c r="I76" s="4">
        <f>[1]TruckNumbers!F79</f>
        <v>0</v>
      </c>
      <c r="J76" s="4">
        <f>[1]TruckNumbers!J79</f>
        <v>0</v>
      </c>
      <c r="K76" s="4">
        <f>[1]TruckNumbers!K79</f>
        <v>0</v>
      </c>
      <c r="L76" s="31">
        <f>[1]TruckNumbers!L79</f>
        <v>0</v>
      </c>
      <c r="M76">
        <f>[1]TruckNumbers!M79</f>
        <v>0</v>
      </c>
      <c r="N76">
        <f>[1]TruckNumbers!N79</f>
        <v>0</v>
      </c>
      <c r="O76" s="4">
        <f>[1]TruckNumbers!O79</f>
        <v>0</v>
      </c>
      <c r="P76" s="28">
        <f>[1]TruckNumbers!P79</f>
        <v>0</v>
      </c>
      <c r="Q76" s="4">
        <f>[1]TruckNumbers!Q79</f>
        <v>0</v>
      </c>
      <c r="R76" s="4">
        <f>[1]TruckNumbers!R79</f>
        <v>0</v>
      </c>
      <c r="S76" s="4">
        <f>[1]TruckNumbers!S79</f>
        <v>0</v>
      </c>
      <c r="T76" s="4">
        <f>[1]TruckNumbers!T79</f>
        <v>0</v>
      </c>
      <c r="U76">
        <f>[1]TruckNumbers!U79</f>
        <v>0</v>
      </c>
      <c r="V76">
        <f>[1]TruckNumbers!V79</f>
        <v>0</v>
      </c>
      <c r="W76">
        <f>[1]TruckNumbers!W79</f>
        <v>0</v>
      </c>
      <c r="X76">
        <f>[1]TruckNumbers!X79</f>
        <v>0</v>
      </c>
    </row>
    <row r="77" spans="1:24" x14ac:dyDescent="0.2">
      <c r="A77">
        <f>[1]TruckNumbers!A80</f>
        <v>0</v>
      </c>
      <c r="B77">
        <f>[1]TruckNumbers!B80</f>
        <v>0</v>
      </c>
      <c r="C77" s="29">
        <f>[1]TruckNumbers!C80</f>
        <v>0</v>
      </c>
      <c r="D77" s="4">
        <f>[1]TruckNumbers!E80</f>
        <v>0</v>
      </c>
      <c r="E77" s="30">
        <f>[1]TruckNumbers!D80</f>
        <v>0</v>
      </c>
      <c r="F77" s="4">
        <f>[1]TruckNumbers!G80</f>
        <v>0</v>
      </c>
      <c r="G77">
        <f>[1]TruckNumbers!H80</f>
        <v>0</v>
      </c>
      <c r="H77" s="4">
        <f>[1]TruckNumbers!I80</f>
        <v>0</v>
      </c>
      <c r="I77" s="4">
        <f>[1]TruckNumbers!F80</f>
        <v>0</v>
      </c>
      <c r="J77" s="4">
        <f>[1]TruckNumbers!J80</f>
        <v>0</v>
      </c>
      <c r="K77" s="4">
        <f>[1]TruckNumbers!K80</f>
        <v>0</v>
      </c>
      <c r="L77" s="31">
        <f>[1]TruckNumbers!L80</f>
        <v>0</v>
      </c>
      <c r="M77">
        <f>[1]TruckNumbers!M80</f>
        <v>0</v>
      </c>
      <c r="N77">
        <f>[1]TruckNumbers!N80</f>
        <v>0</v>
      </c>
      <c r="O77" s="4">
        <f>[1]TruckNumbers!O80</f>
        <v>0</v>
      </c>
      <c r="P77" s="28">
        <f>[1]TruckNumbers!P80</f>
        <v>0</v>
      </c>
      <c r="Q77" s="4">
        <f>[1]TruckNumbers!Q80</f>
        <v>0</v>
      </c>
      <c r="R77" s="4">
        <f>[1]TruckNumbers!R80</f>
        <v>0</v>
      </c>
      <c r="S77" s="4">
        <f>[1]TruckNumbers!S80</f>
        <v>0</v>
      </c>
      <c r="T77" s="4">
        <f>[1]TruckNumbers!T80</f>
        <v>0</v>
      </c>
      <c r="U77">
        <f>[1]TruckNumbers!U80</f>
        <v>0</v>
      </c>
      <c r="V77">
        <f>[1]TruckNumbers!V80</f>
        <v>0</v>
      </c>
      <c r="W77">
        <f>[1]TruckNumbers!W80</f>
        <v>0</v>
      </c>
      <c r="X77">
        <f>[1]TruckNumbers!X80</f>
        <v>0</v>
      </c>
    </row>
    <row r="78" spans="1:24" x14ac:dyDescent="0.2">
      <c r="A78">
        <f>[1]TruckNumbers!A81</f>
        <v>0</v>
      </c>
      <c r="B78">
        <f>[1]TruckNumbers!B81</f>
        <v>0</v>
      </c>
      <c r="C78" s="29">
        <f>[1]TruckNumbers!C81</f>
        <v>0</v>
      </c>
      <c r="D78" s="4">
        <f>[1]TruckNumbers!E81</f>
        <v>0</v>
      </c>
      <c r="E78" s="30">
        <f>[1]TruckNumbers!D81</f>
        <v>0</v>
      </c>
      <c r="F78" s="4">
        <f>[1]TruckNumbers!G81</f>
        <v>0</v>
      </c>
      <c r="G78">
        <f>[1]TruckNumbers!H81</f>
        <v>0</v>
      </c>
      <c r="H78" s="4">
        <f>[1]TruckNumbers!I81</f>
        <v>0</v>
      </c>
      <c r="I78" s="4">
        <f>[1]TruckNumbers!F81</f>
        <v>0</v>
      </c>
      <c r="J78" s="4">
        <f>[1]TruckNumbers!J81</f>
        <v>0</v>
      </c>
      <c r="K78" s="4">
        <f>[1]TruckNumbers!K81</f>
        <v>0</v>
      </c>
      <c r="L78" s="31">
        <f>[1]TruckNumbers!L81</f>
        <v>0</v>
      </c>
      <c r="M78">
        <f>[1]TruckNumbers!M81</f>
        <v>0</v>
      </c>
      <c r="N78">
        <f>[1]TruckNumbers!N81</f>
        <v>0</v>
      </c>
      <c r="O78" s="4">
        <f>[1]TruckNumbers!O81</f>
        <v>0</v>
      </c>
      <c r="P78" s="28">
        <f>[1]TruckNumbers!P81</f>
        <v>0</v>
      </c>
      <c r="Q78" s="4">
        <f>[1]TruckNumbers!Q81</f>
        <v>0</v>
      </c>
      <c r="R78" s="4">
        <f>[1]TruckNumbers!R81</f>
        <v>0</v>
      </c>
      <c r="S78" s="4">
        <f>[1]TruckNumbers!S81</f>
        <v>0</v>
      </c>
      <c r="T78" s="4">
        <f>[1]TruckNumbers!T81</f>
        <v>0</v>
      </c>
      <c r="U78">
        <f>[1]TruckNumbers!U81</f>
        <v>0</v>
      </c>
      <c r="V78">
        <f>[1]TruckNumbers!V81</f>
        <v>0</v>
      </c>
      <c r="W78">
        <f>[1]TruckNumbers!W81</f>
        <v>0</v>
      </c>
      <c r="X78">
        <f>[1]TruckNumbers!X81</f>
        <v>0</v>
      </c>
    </row>
    <row r="79" spans="1:24" x14ac:dyDescent="0.2">
      <c r="A79">
        <f>[1]TruckNumbers!A82</f>
        <v>0</v>
      </c>
      <c r="B79">
        <f>[1]TruckNumbers!B82</f>
        <v>0</v>
      </c>
      <c r="C79" s="29">
        <f>[1]TruckNumbers!C82</f>
        <v>0</v>
      </c>
      <c r="D79" s="4">
        <f>[1]TruckNumbers!E82</f>
        <v>0</v>
      </c>
      <c r="E79" s="30">
        <f>[1]TruckNumbers!D82</f>
        <v>0</v>
      </c>
      <c r="F79" s="4">
        <f>[1]TruckNumbers!G82</f>
        <v>0</v>
      </c>
      <c r="G79">
        <f>[1]TruckNumbers!H82</f>
        <v>0</v>
      </c>
      <c r="H79" s="4">
        <f>[1]TruckNumbers!I82</f>
        <v>0</v>
      </c>
      <c r="I79" s="4">
        <f>[1]TruckNumbers!F82</f>
        <v>0</v>
      </c>
      <c r="J79" s="4">
        <f>[1]TruckNumbers!J82</f>
        <v>0</v>
      </c>
      <c r="K79" s="4">
        <f>[1]TruckNumbers!K82</f>
        <v>0</v>
      </c>
      <c r="L79" s="31">
        <f>[1]TruckNumbers!L82</f>
        <v>0</v>
      </c>
      <c r="M79">
        <f>[1]TruckNumbers!M82</f>
        <v>0</v>
      </c>
      <c r="N79">
        <f>[1]TruckNumbers!N82</f>
        <v>0</v>
      </c>
      <c r="O79" s="4">
        <f>[1]TruckNumbers!O82</f>
        <v>0</v>
      </c>
      <c r="P79" s="28">
        <f>[1]TruckNumbers!P82</f>
        <v>0</v>
      </c>
      <c r="Q79" s="4">
        <f>[1]TruckNumbers!Q82</f>
        <v>0</v>
      </c>
      <c r="R79" s="4">
        <f>[1]TruckNumbers!R82</f>
        <v>0</v>
      </c>
      <c r="S79" s="4">
        <f>[1]TruckNumbers!S82</f>
        <v>0</v>
      </c>
      <c r="T79" s="4">
        <f>[1]TruckNumbers!T82</f>
        <v>0</v>
      </c>
      <c r="U79">
        <f>[1]TruckNumbers!U82</f>
        <v>0</v>
      </c>
      <c r="V79">
        <f>[1]TruckNumbers!V82</f>
        <v>0</v>
      </c>
      <c r="W79">
        <f>[1]TruckNumbers!W82</f>
        <v>0</v>
      </c>
      <c r="X79">
        <f>[1]TruckNumbers!X82</f>
        <v>0</v>
      </c>
    </row>
    <row r="80" spans="1:24" x14ac:dyDescent="0.2">
      <c r="A80">
        <f>[1]TruckNumbers!A83</f>
        <v>0</v>
      </c>
      <c r="B80">
        <f>[1]TruckNumbers!B83</f>
        <v>0</v>
      </c>
      <c r="C80" s="29">
        <f>[1]TruckNumbers!C83</f>
        <v>0</v>
      </c>
      <c r="D80" s="4">
        <f>[1]TruckNumbers!E83</f>
        <v>0</v>
      </c>
      <c r="E80" s="30">
        <f>[1]TruckNumbers!D83</f>
        <v>0</v>
      </c>
      <c r="F80" s="4">
        <f>[1]TruckNumbers!G83</f>
        <v>0</v>
      </c>
      <c r="G80">
        <f>[1]TruckNumbers!H83</f>
        <v>0</v>
      </c>
      <c r="H80" s="4">
        <f>[1]TruckNumbers!I83</f>
        <v>0</v>
      </c>
      <c r="I80" s="4">
        <f>[1]TruckNumbers!F83</f>
        <v>0</v>
      </c>
      <c r="J80" s="4">
        <f>[1]TruckNumbers!J83</f>
        <v>0</v>
      </c>
      <c r="K80" s="4">
        <f>[1]TruckNumbers!K83</f>
        <v>0</v>
      </c>
      <c r="L80" s="31">
        <f>[1]TruckNumbers!L83</f>
        <v>0</v>
      </c>
      <c r="M80">
        <f>[1]TruckNumbers!M83</f>
        <v>0</v>
      </c>
      <c r="N80">
        <f>[1]TruckNumbers!N83</f>
        <v>0</v>
      </c>
      <c r="O80" s="4">
        <f>[1]TruckNumbers!O83</f>
        <v>0</v>
      </c>
      <c r="P80" s="28">
        <f>[1]TruckNumbers!P83</f>
        <v>0</v>
      </c>
      <c r="Q80" s="4">
        <f>[1]TruckNumbers!Q83</f>
        <v>0</v>
      </c>
      <c r="R80" s="4">
        <f>[1]TruckNumbers!R83</f>
        <v>0</v>
      </c>
      <c r="S80" s="4">
        <f>[1]TruckNumbers!S83</f>
        <v>0</v>
      </c>
      <c r="T80" s="4">
        <f>[1]TruckNumbers!T83</f>
        <v>0</v>
      </c>
      <c r="U80">
        <f>[1]TruckNumbers!U83</f>
        <v>0</v>
      </c>
      <c r="V80">
        <f>[1]TruckNumbers!V83</f>
        <v>0</v>
      </c>
      <c r="W80">
        <f>[1]TruckNumbers!W83</f>
        <v>0</v>
      </c>
      <c r="X80">
        <f>[1]TruckNumbers!X83</f>
        <v>0</v>
      </c>
    </row>
    <row r="81" spans="1:24" x14ac:dyDescent="0.2">
      <c r="A81">
        <f>[1]TruckNumbers!A84</f>
        <v>0</v>
      </c>
      <c r="B81">
        <f>[1]TruckNumbers!B84</f>
        <v>0</v>
      </c>
      <c r="C81" s="29">
        <f>[1]TruckNumbers!C84</f>
        <v>0</v>
      </c>
      <c r="D81" s="4">
        <f>[1]TruckNumbers!E84</f>
        <v>0</v>
      </c>
      <c r="E81" s="30">
        <f>[1]TruckNumbers!D84</f>
        <v>0</v>
      </c>
      <c r="F81" s="4">
        <f>[1]TruckNumbers!G84</f>
        <v>0</v>
      </c>
      <c r="G81">
        <f>[1]TruckNumbers!H84</f>
        <v>0</v>
      </c>
      <c r="H81" s="4">
        <f>[1]TruckNumbers!I84</f>
        <v>0</v>
      </c>
      <c r="I81" s="4">
        <f>[1]TruckNumbers!F84</f>
        <v>0</v>
      </c>
      <c r="J81" s="4">
        <f>[1]TruckNumbers!J84</f>
        <v>0</v>
      </c>
      <c r="K81" s="4">
        <f>[1]TruckNumbers!K84</f>
        <v>0</v>
      </c>
      <c r="L81" s="31">
        <f>[1]TruckNumbers!L84</f>
        <v>0</v>
      </c>
      <c r="M81">
        <f>[1]TruckNumbers!M84</f>
        <v>0</v>
      </c>
      <c r="N81">
        <f>[1]TruckNumbers!N84</f>
        <v>0</v>
      </c>
      <c r="O81" s="4">
        <f>[1]TruckNumbers!O84</f>
        <v>0</v>
      </c>
      <c r="P81" s="28">
        <f>[1]TruckNumbers!P84</f>
        <v>0</v>
      </c>
      <c r="Q81" s="4">
        <f>[1]TruckNumbers!Q84</f>
        <v>0</v>
      </c>
      <c r="R81" s="4">
        <f>[1]TruckNumbers!R84</f>
        <v>0</v>
      </c>
      <c r="S81" s="4">
        <f>[1]TruckNumbers!S84</f>
        <v>0</v>
      </c>
      <c r="T81" s="4">
        <f>[1]TruckNumbers!T84</f>
        <v>0</v>
      </c>
      <c r="U81">
        <f>[1]TruckNumbers!U84</f>
        <v>0</v>
      </c>
      <c r="V81">
        <f>[1]TruckNumbers!V84</f>
        <v>0</v>
      </c>
      <c r="W81">
        <f>[1]TruckNumbers!W84</f>
        <v>0</v>
      </c>
      <c r="X81">
        <f>[1]TruckNumbers!X84</f>
        <v>0</v>
      </c>
    </row>
    <row r="82" spans="1:24" x14ac:dyDescent="0.2">
      <c r="A82">
        <f>[1]TruckNumbers!A85</f>
        <v>0</v>
      </c>
      <c r="B82">
        <f>[1]TruckNumbers!B85</f>
        <v>0</v>
      </c>
      <c r="C82" s="29">
        <f>[1]TruckNumbers!C85</f>
        <v>0</v>
      </c>
      <c r="D82" s="4">
        <f>[1]TruckNumbers!E85</f>
        <v>0</v>
      </c>
      <c r="E82" s="30">
        <f>[1]TruckNumbers!D85</f>
        <v>0</v>
      </c>
      <c r="F82" s="4">
        <f>[1]TruckNumbers!G85</f>
        <v>0</v>
      </c>
      <c r="G82">
        <f>[1]TruckNumbers!H85</f>
        <v>0</v>
      </c>
      <c r="H82" s="4">
        <f>[1]TruckNumbers!I85</f>
        <v>0</v>
      </c>
      <c r="I82" s="4">
        <f>[1]TruckNumbers!F85</f>
        <v>0</v>
      </c>
      <c r="J82" s="4">
        <f>[1]TruckNumbers!J85</f>
        <v>0</v>
      </c>
      <c r="K82" s="4">
        <f>[1]TruckNumbers!K85</f>
        <v>0</v>
      </c>
      <c r="L82" s="31">
        <f>[1]TruckNumbers!L85</f>
        <v>0</v>
      </c>
      <c r="M82">
        <f>[1]TruckNumbers!M85</f>
        <v>0</v>
      </c>
      <c r="N82">
        <f>[1]TruckNumbers!N85</f>
        <v>0</v>
      </c>
      <c r="O82" s="4">
        <f>[1]TruckNumbers!O85</f>
        <v>0</v>
      </c>
      <c r="P82" s="28">
        <f>[1]TruckNumbers!P85</f>
        <v>0</v>
      </c>
      <c r="Q82" s="4">
        <f>[1]TruckNumbers!Q85</f>
        <v>0</v>
      </c>
      <c r="R82" s="4">
        <f>[1]TruckNumbers!R85</f>
        <v>0</v>
      </c>
      <c r="S82" s="4">
        <f>[1]TruckNumbers!S85</f>
        <v>0</v>
      </c>
      <c r="T82" s="4">
        <f>[1]TruckNumbers!T85</f>
        <v>0</v>
      </c>
      <c r="U82">
        <f>[1]TruckNumbers!U85</f>
        <v>0</v>
      </c>
      <c r="V82">
        <f>[1]TruckNumbers!V85</f>
        <v>0</v>
      </c>
      <c r="W82">
        <f>[1]TruckNumbers!W85</f>
        <v>0</v>
      </c>
      <c r="X82">
        <f>[1]TruckNumbers!X85</f>
        <v>0</v>
      </c>
    </row>
    <row r="83" spans="1:24" x14ac:dyDescent="0.2">
      <c r="A83">
        <f>[1]TruckNumbers!A86</f>
        <v>0</v>
      </c>
      <c r="B83">
        <f>[1]TruckNumbers!B86</f>
        <v>0</v>
      </c>
      <c r="C83" s="29">
        <f>[1]TruckNumbers!C86</f>
        <v>0</v>
      </c>
      <c r="D83" s="4">
        <f>[1]TruckNumbers!E86</f>
        <v>0</v>
      </c>
      <c r="E83" s="30">
        <f>[1]TruckNumbers!D86</f>
        <v>0</v>
      </c>
      <c r="F83" s="4">
        <f>[1]TruckNumbers!G86</f>
        <v>0</v>
      </c>
      <c r="G83">
        <f>[1]TruckNumbers!H86</f>
        <v>0</v>
      </c>
      <c r="H83" s="4">
        <f>[1]TruckNumbers!I86</f>
        <v>0</v>
      </c>
      <c r="I83" s="4">
        <f>[1]TruckNumbers!F86</f>
        <v>0</v>
      </c>
      <c r="J83" s="4">
        <f>[1]TruckNumbers!J86</f>
        <v>0</v>
      </c>
      <c r="K83" s="4">
        <f>[1]TruckNumbers!K86</f>
        <v>0</v>
      </c>
      <c r="L83" s="31">
        <f>[1]TruckNumbers!L86</f>
        <v>0</v>
      </c>
      <c r="M83">
        <f>[1]TruckNumbers!M86</f>
        <v>0</v>
      </c>
      <c r="N83">
        <f>[1]TruckNumbers!N86</f>
        <v>0</v>
      </c>
      <c r="O83" s="4">
        <f>[1]TruckNumbers!O86</f>
        <v>0</v>
      </c>
      <c r="P83" s="28">
        <f>[1]TruckNumbers!P86</f>
        <v>0</v>
      </c>
      <c r="Q83" s="4">
        <f>[1]TruckNumbers!Q86</f>
        <v>0</v>
      </c>
      <c r="R83" s="4">
        <f>[1]TruckNumbers!R86</f>
        <v>0</v>
      </c>
      <c r="S83" s="4">
        <f>[1]TruckNumbers!S86</f>
        <v>0</v>
      </c>
      <c r="T83" s="4">
        <f>[1]TruckNumbers!T86</f>
        <v>0</v>
      </c>
      <c r="U83">
        <f>[1]TruckNumbers!U86</f>
        <v>0</v>
      </c>
      <c r="V83">
        <f>[1]TruckNumbers!V86</f>
        <v>0</v>
      </c>
      <c r="W83">
        <f>[1]TruckNumbers!W86</f>
        <v>0</v>
      </c>
      <c r="X83">
        <f>[1]TruckNumbers!X86</f>
        <v>0</v>
      </c>
    </row>
    <row r="84" spans="1:24" x14ac:dyDescent="0.2">
      <c r="A84">
        <f>[1]TruckNumbers!A87</f>
        <v>0</v>
      </c>
      <c r="B84">
        <f>[1]TruckNumbers!B87</f>
        <v>0</v>
      </c>
      <c r="C84" s="29">
        <f>[1]TruckNumbers!C87</f>
        <v>0</v>
      </c>
      <c r="D84" s="4">
        <f>[1]TruckNumbers!E87</f>
        <v>0</v>
      </c>
      <c r="E84" s="30">
        <f>[1]TruckNumbers!D87</f>
        <v>0</v>
      </c>
      <c r="F84" s="4">
        <f>[1]TruckNumbers!G87</f>
        <v>0</v>
      </c>
      <c r="G84">
        <f>[1]TruckNumbers!H87</f>
        <v>0</v>
      </c>
      <c r="H84" s="4">
        <f>[1]TruckNumbers!I87</f>
        <v>0</v>
      </c>
      <c r="I84" s="4">
        <f>[1]TruckNumbers!F87</f>
        <v>0</v>
      </c>
      <c r="J84" s="4">
        <f>[1]TruckNumbers!J87</f>
        <v>0</v>
      </c>
      <c r="K84" s="4">
        <f>[1]TruckNumbers!K87</f>
        <v>0</v>
      </c>
      <c r="L84" s="31">
        <f>[1]TruckNumbers!L87</f>
        <v>0</v>
      </c>
      <c r="M84">
        <f>[1]TruckNumbers!M87</f>
        <v>0</v>
      </c>
      <c r="N84">
        <f>[1]TruckNumbers!N87</f>
        <v>0</v>
      </c>
      <c r="O84" s="4">
        <f>[1]TruckNumbers!O87</f>
        <v>0</v>
      </c>
      <c r="P84" s="28">
        <f>[1]TruckNumbers!P87</f>
        <v>0</v>
      </c>
      <c r="Q84" s="4">
        <f>[1]TruckNumbers!Q87</f>
        <v>0</v>
      </c>
      <c r="R84" s="4">
        <f>[1]TruckNumbers!R87</f>
        <v>0</v>
      </c>
      <c r="S84" s="4">
        <f>[1]TruckNumbers!S87</f>
        <v>0</v>
      </c>
      <c r="T84" s="4">
        <f>[1]TruckNumbers!T87</f>
        <v>0</v>
      </c>
      <c r="U84">
        <f>[1]TruckNumbers!U87</f>
        <v>0</v>
      </c>
      <c r="V84">
        <f>[1]TruckNumbers!V87</f>
        <v>0</v>
      </c>
      <c r="W84">
        <f>[1]TruckNumbers!W87</f>
        <v>0</v>
      </c>
      <c r="X84">
        <f>[1]TruckNumbers!X87</f>
        <v>0</v>
      </c>
    </row>
    <row r="85" spans="1:24" x14ac:dyDescent="0.2">
      <c r="A85">
        <f>[1]TruckNumbers!A88</f>
        <v>0</v>
      </c>
      <c r="B85">
        <f>[1]TruckNumbers!B88</f>
        <v>0</v>
      </c>
      <c r="C85" s="29">
        <f>[1]TruckNumbers!C88</f>
        <v>0</v>
      </c>
      <c r="D85" s="4">
        <f>[1]TruckNumbers!E88</f>
        <v>0</v>
      </c>
      <c r="E85" s="30">
        <f>[1]TruckNumbers!D88</f>
        <v>0</v>
      </c>
      <c r="F85" s="4">
        <f>[1]TruckNumbers!G88</f>
        <v>0</v>
      </c>
      <c r="G85">
        <f>[1]TruckNumbers!H88</f>
        <v>0</v>
      </c>
      <c r="H85" s="4">
        <f>[1]TruckNumbers!I88</f>
        <v>0</v>
      </c>
      <c r="I85" s="4">
        <f>[1]TruckNumbers!F88</f>
        <v>0</v>
      </c>
      <c r="J85" s="4">
        <f>[1]TruckNumbers!J88</f>
        <v>0</v>
      </c>
      <c r="K85" s="4">
        <f>[1]TruckNumbers!K88</f>
        <v>0</v>
      </c>
      <c r="L85" s="31">
        <f>[1]TruckNumbers!L88</f>
        <v>0</v>
      </c>
      <c r="M85">
        <f>[1]TruckNumbers!M88</f>
        <v>0</v>
      </c>
      <c r="N85">
        <f>[1]TruckNumbers!N88</f>
        <v>0</v>
      </c>
      <c r="O85" s="4">
        <f>[1]TruckNumbers!O88</f>
        <v>0</v>
      </c>
      <c r="P85" s="28">
        <f>[1]TruckNumbers!P88</f>
        <v>0</v>
      </c>
      <c r="Q85" s="4">
        <f>[1]TruckNumbers!Q88</f>
        <v>0</v>
      </c>
      <c r="R85" s="4">
        <f>[1]TruckNumbers!R88</f>
        <v>0</v>
      </c>
      <c r="S85" s="4">
        <f>[1]TruckNumbers!S88</f>
        <v>0</v>
      </c>
      <c r="T85" s="4">
        <f>[1]TruckNumbers!T88</f>
        <v>0</v>
      </c>
      <c r="U85">
        <f>[1]TruckNumbers!U88</f>
        <v>0</v>
      </c>
      <c r="V85">
        <f>[1]TruckNumbers!V88</f>
        <v>0</v>
      </c>
      <c r="W85">
        <f>[1]TruckNumbers!W88</f>
        <v>0</v>
      </c>
      <c r="X85">
        <f>[1]TruckNumbers!X88</f>
        <v>0</v>
      </c>
    </row>
    <row r="86" spans="1:24" x14ac:dyDescent="0.2">
      <c r="A86">
        <f>[1]TruckNumbers!A89</f>
        <v>0</v>
      </c>
      <c r="B86">
        <f>[1]TruckNumbers!B89</f>
        <v>0</v>
      </c>
      <c r="C86" s="29">
        <f>[1]TruckNumbers!C89</f>
        <v>0</v>
      </c>
      <c r="D86" s="4">
        <f>[1]TruckNumbers!E89</f>
        <v>0</v>
      </c>
      <c r="E86" s="30">
        <f>[1]TruckNumbers!D89</f>
        <v>0</v>
      </c>
      <c r="F86" s="4">
        <f>[1]TruckNumbers!G89</f>
        <v>0</v>
      </c>
      <c r="G86">
        <f>[1]TruckNumbers!H89</f>
        <v>0</v>
      </c>
      <c r="H86" s="4">
        <f>[1]TruckNumbers!I89</f>
        <v>0</v>
      </c>
      <c r="I86" s="4">
        <f>[1]TruckNumbers!F89</f>
        <v>0</v>
      </c>
      <c r="J86" s="4">
        <f>[1]TruckNumbers!J89</f>
        <v>0</v>
      </c>
      <c r="K86" s="4">
        <f>[1]TruckNumbers!K89</f>
        <v>0</v>
      </c>
      <c r="L86" s="31">
        <f>[1]TruckNumbers!L89</f>
        <v>0</v>
      </c>
      <c r="M86">
        <f>[1]TruckNumbers!M89</f>
        <v>0</v>
      </c>
      <c r="N86">
        <f>[1]TruckNumbers!N89</f>
        <v>0</v>
      </c>
      <c r="O86" s="4">
        <f>[1]TruckNumbers!O89</f>
        <v>0</v>
      </c>
      <c r="P86" s="28">
        <f>[1]TruckNumbers!P89</f>
        <v>0</v>
      </c>
      <c r="Q86" s="4">
        <f>[1]TruckNumbers!Q89</f>
        <v>0</v>
      </c>
      <c r="R86" s="4">
        <f>[1]TruckNumbers!R89</f>
        <v>0</v>
      </c>
      <c r="S86" s="4">
        <f>[1]TruckNumbers!S89</f>
        <v>0</v>
      </c>
      <c r="T86" s="4">
        <f>[1]TruckNumbers!T89</f>
        <v>0</v>
      </c>
      <c r="U86">
        <f>[1]TruckNumbers!U89</f>
        <v>0</v>
      </c>
      <c r="V86">
        <f>[1]TruckNumbers!V89</f>
        <v>0</v>
      </c>
      <c r="W86">
        <f>[1]TruckNumbers!W89</f>
        <v>0</v>
      </c>
      <c r="X86">
        <f>[1]TruckNumbers!X89</f>
        <v>0</v>
      </c>
    </row>
    <row r="87" spans="1:24" x14ac:dyDescent="0.2">
      <c r="A87">
        <f>[1]TruckNumbers!A90</f>
        <v>0</v>
      </c>
      <c r="B87">
        <f>[1]TruckNumbers!B90</f>
        <v>0</v>
      </c>
      <c r="C87" s="29">
        <f>[1]TruckNumbers!C90</f>
        <v>0</v>
      </c>
      <c r="D87" s="4">
        <f>[1]TruckNumbers!E90</f>
        <v>0</v>
      </c>
      <c r="E87" s="30">
        <f>[1]TruckNumbers!D90</f>
        <v>0</v>
      </c>
      <c r="F87" s="4">
        <f>[1]TruckNumbers!G90</f>
        <v>0</v>
      </c>
      <c r="G87">
        <f>[1]TruckNumbers!H90</f>
        <v>0</v>
      </c>
      <c r="H87" s="4">
        <f>[1]TruckNumbers!I90</f>
        <v>0</v>
      </c>
      <c r="I87" s="4">
        <f>[1]TruckNumbers!F90</f>
        <v>0</v>
      </c>
      <c r="J87" s="4">
        <f>[1]TruckNumbers!J90</f>
        <v>0</v>
      </c>
      <c r="K87" s="4">
        <f>[1]TruckNumbers!K90</f>
        <v>0</v>
      </c>
      <c r="L87" s="31">
        <f>[1]TruckNumbers!L90</f>
        <v>0</v>
      </c>
      <c r="M87">
        <f>[1]TruckNumbers!M90</f>
        <v>0</v>
      </c>
      <c r="N87">
        <f>[1]TruckNumbers!N90</f>
        <v>0</v>
      </c>
      <c r="O87" s="4">
        <f>[1]TruckNumbers!O90</f>
        <v>0</v>
      </c>
      <c r="P87" s="28">
        <f>[1]TruckNumbers!P90</f>
        <v>0</v>
      </c>
      <c r="Q87" s="4">
        <f>[1]TruckNumbers!Q90</f>
        <v>0</v>
      </c>
      <c r="R87" s="4">
        <f>[1]TruckNumbers!R90</f>
        <v>0</v>
      </c>
      <c r="S87" s="4">
        <f>[1]TruckNumbers!S90</f>
        <v>0</v>
      </c>
      <c r="T87" s="4">
        <f>[1]TruckNumbers!T90</f>
        <v>0</v>
      </c>
      <c r="U87">
        <f>[1]TruckNumbers!U90</f>
        <v>0</v>
      </c>
      <c r="V87">
        <f>[1]TruckNumbers!V90</f>
        <v>0</v>
      </c>
      <c r="W87">
        <f>[1]TruckNumbers!W90</f>
        <v>0</v>
      </c>
      <c r="X87">
        <f>[1]TruckNumbers!X90</f>
        <v>0</v>
      </c>
    </row>
    <row r="88" spans="1:24" x14ac:dyDescent="0.2">
      <c r="A88">
        <f>[1]TruckNumbers!A91</f>
        <v>0</v>
      </c>
      <c r="B88">
        <f>[1]TruckNumbers!B91</f>
        <v>0</v>
      </c>
      <c r="C88" s="29">
        <f>[1]TruckNumbers!C91</f>
        <v>0</v>
      </c>
      <c r="D88" s="4">
        <f>[1]TruckNumbers!E91</f>
        <v>0</v>
      </c>
      <c r="E88" s="30">
        <f>[1]TruckNumbers!D91</f>
        <v>0</v>
      </c>
      <c r="F88" s="4">
        <f>[1]TruckNumbers!G91</f>
        <v>0</v>
      </c>
      <c r="G88">
        <f>[1]TruckNumbers!H91</f>
        <v>0</v>
      </c>
      <c r="H88" s="4">
        <f>[1]TruckNumbers!I91</f>
        <v>0</v>
      </c>
      <c r="I88" s="4">
        <f>[1]TruckNumbers!F91</f>
        <v>0</v>
      </c>
      <c r="J88" s="4">
        <f>[1]TruckNumbers!J91</f>
        <v>0</v>
      </c>
      <c r="K88" s="4">
        <f>[1]TruckNumbers!K91</f>
        <v>0</v>
      </c>
      <c r="L88" s="31">
        <f>[1]TruckNumbers!L91</f>
        <v>0</v>
      </c>
      <c r="M88">
        <f>[1]TruckNumbers!M91</f>
        <v>0</v>
      </c>
      <c r="N88">
        <f>[1]TruckNumbers!N91</f>
        <v>0</v>
      </c>
      <c r="O88" s="4">
        <f>[1]TruckNumbers!O91</f>
        <v>0</v>
      </c>
      <c r="P88" s="28">
        <f>[1]TruckNumbers!P91</f>
        <v>0</v>
      </c>
      <c r="Q88" s="4">
        <f>[1]TruckNumbers!Q91</f>
        <v>0</v>
      </c>
      <c r="R88" s="4">
        <f>[1]TruckNumbers!R91</f>
        <v>0</v>
      </c>
      <c r="S88" s="4">
        <f>[1]TruckNumbers!S91</f>
        <v>0</v>
      </c>
      <c r="T88" s="4">
        <f>[1]TruckNumbers!T91</f>
        <v>0</v>
      </c>
      <c r="U88">
        <f>[1]TruckNumbers!U91</f>
        <v>0</v>
      </c>
      <c r="V88">
        <f>[1]TruckNumbers!V91</f>
        <v>0</v>
      </c>
      <c r="W88">
        <f>[1]TruckNumbers!W91</f>
        <v>0</v>
      </c>
      <c r="X88">
        <f>[1]TruckNumbers!X91</f>
        <v>0</v>
      </c>
    </row>
    <row r="89" spans="1:24" x14ac:dyDescent="0.2">
      <c r="A89">
        <f>[1]TruckNumbers!A92</f>
        <v>0</v>
      </c>
      <c r="B89">
        <f>[1]TruckNumbers!B92</f>
        <v>0</v>
      </c>
      <c r="C89" s="29">
        <f>[1]TruckNumbers!C92</f>
        <v>0</v>
      </c>
      <c r="D89" s="4">
        <f>[1]TruckNumbers!E92</f>
        <v>0</v>
      </c>
      <c r="E89" s="30">
        <f>[1]TruckNumbers!D92</f>
        <v>0</v>
      </c>
      <c r="F89" s="4">
        <f>[1]TruckNumbers!G92</f>
        <v>0</v>
      </c>
      <c r="G89">
        <f>[1]TruckNumbers!H92</f>
        <v>0</v>
      </c>
      <c r="H89" s="4">
        <f>[1]TruckNumbers!I92</f>
        <v>0</v>
      </c>
      <c r="I89" s="4">
        <f>[1]TruckNumbers!F92</f>
        <v>0</v>
      </c>
      <c r="J89" s="4">
        <f>[1]TruckNumbers!J92</f>
        <v>0</v>
      </c>
      <c r="K89" s="4">
        <f>[1]TruckNumbers!K92</f>
        <v>0</v>
      </c>
      <c r="L89" s="31">
        <f>[1]TruckNumbers!L92</f>
        <v>0</v>
      </c>
      <c r="M89">
        <f>[1]TruckNumbers!M92</f>
        <v>0</v>
      </c>
      <c r="N89">
        <f>[1]TruckNumbers!N92</f>
        <v>0</v>
      </c>
      <c r="O89" s="4">
        <f>[1]TruckNumbers!O92</f>
        <v>0</v>
      </c>
      <c r="P89" s="28">
        <f>[1]TruckNumbers!P92</f>
        <v>0</v>
      </c>
      <c r="Q89" s="4">
        <f>[1]TruckNumbers!Q92</f>
        <v>0</v>
      </c>
      <c r="R89" s="4">
        <f>[1]TruckNumbers!R92</f>
        <v>0</v>
      </c>
      <c r="S89" s="4">
        <f>[1]TruckNumbers!S92</f>
        <v>0</v>
      </c>
      <c r="T89" s="4">
        <f>[1]TruckNumbers!T92</f>
        <v>0</v>
      </c>
      <c r="U89">
        <f>[1]TruckNumbers!U92</f>
        <v>0</v>
      </c>
      <c r="V89">
        <f>[1]TruckNumbers!V92</f>
        <v>0</v>
      </c>
      <c r="W89">
        <f>[1]TruckNumbers!W92</f>
        <v>0</v>
      </c>
      <c r="X89">
        <f>[1]TruckNumbers!X92</f>
        <v>0</v>
      </c>
    </row>
    <row r="90" spans="1:24" x14ac:dyDescent="0.2">
      <c r="A90">
        <f>[1]TruckNumbers!A93</f>
        <v>0</v>
      </c>
      <c r="B90">
        <f>[1]TruckNumbers!B93</f>
        <v>0</v>
      </c>
      <c r="C90" s="29">
        <f>[1]TruckNumbers!C93</f>
        <v>0</v>
      </c>
      <c r="D90" s="4">
        <f>[1]TruckNumbers!E93</f>
        <v>0</v>
      </c>
      <c r="E90" s="30">
        <f>[1]TruckNumbers!D93</f>
        <v>0</v>
      </c>
      <c r="F90" s="4">
        <f>[1]TruckNumbers!G93</f>
        <v>0</v>
      </c>
      <c r="G90">
        <f>[1]TruckNumbers!H93</f>
        <v>0</v>
      </c>
      <c r="H90" s="4">
        <f>[1]TruckNumbers!I93</f>
        <v>0</v>
      </c>
      <c r="I90" s="4">
        <f>[1]TruckNumbers!F93</f>
        <v>0</v>
      </c>
      <c r="J90" s="4">
        <f>[1]TruckNumbers!J93</f>
        <v>0</v>
      </c>
      <c r="K90" s="4">
        <f>[1]TruckNumbers!K93</f>
        <v>0</v>
      </c>
      <c r="L90" s="31">
        <f>[1]TruckNumbers!L93</f>
        <v>0</v>
      </c>
      <c r="M90">
        <f>[1]TruckNumbers!M93</f>
        <v>0</v>
      </c>
      <c r="N90">
        <f>[1]TruckNumbers!N93</f>
        <v>0</v>
      </c>
      <c r="O90" s="4">
        <f>[1]TruckNumbers!O93</f>
        <v>0</v>
      </c>
      <c r="P90" s="28">
        <f>[1]TruckNumbers!P93</f>
        <v>0</v>
      </c>
      <c r="Q90" s="4">
        <f>[1]TruckNumbers!Q93</f>
        <v>0</v>
      </c>
      <c r="R90" s="4">
        <f>[1]TruckNumbers!R93</f>
        <v>0</v>
      </c>
      <c r="S90" s="4">
        <f>[1]TruckNumbers!S93</f>
        <v>0</v>
      </c>
      <c r="T90" s="4">
        <f>[1]TruckNumbers!T93</f>
        <v>0</v>
      </c>
      <c r="U90">
        <f>[1]TruckNumbers!U93</f>
        <v>0</v>
      </c>
      <c r="V90">
        <f>[1]TruckNumbers!V93</f>
        <v>0</v>
      </c>
      <c r="W90">
        <f>[1]TruckNumbers!W93</f>
        <v>0</v>
      </c>
      <c r="X90">
        <f>[1]TruckNumbers!X93</f>
        <v>0</v>
      </c>
    </row>
    <row r="91" spans="1:24" x14ac:dyDescent="0.2">
      <c r="A91">
        <f>[1]TruckNumbers!A94</f>
        <v>0</v>
      </c>
      <c r="B91">
        <f>[1]TruckNumbers!B94</f>
        <v>0</v>
      </c>
      <c r="C91" s="29">
        <f>[1]TruckNumbers!C94</f>
        <v>0</v>
      </c>
      <c r="D91" s="4">
        <f>[1]TruckNumbers!E94</f>
        <v>0</v>
      </c>
      <c r="E91" s="30">
        <f>[1]TruckNumbers!D94</f>
        <v>0</v>
      </c>
      <c r="F91" s="4">
        <f>[1]TruckNumbers!G94</f>
        <v>0</v>
      </c>
      <c r="G91">
        <f>[1]TruckNumbers!H94</f>
        <v>0</v>
      </c>
      <c r="H91" s="4">
        <f>[1]TruckNumbers!I94</f>
        <v>0</v>
      </c>
      <c r="I91" s="4">
        <f>[1]TruckNumbers!F94</f>
        <v>0</v>
      </c>
      <c r="J91" s="4">
        <f>[1]TruckNumbers!J94</f>
        <v>0</v>
      </c>
      <c r="K91" s="4">
        <f>[1]TruckNumbers!K94</f>
        <v>0</v>
      </c>
      <c r="L91" s="31">
        <f>[1]TruckNumbers!L94</f>
        <v>0</v>
      </c>
      <c r="M91">
        <f>[1]TruckNumbers!M94</f>
        <v>0</v>
      </c>
      <c r="N91">
        <f>[1]TruckNumbers!N94</f>
        <v>0</v>
      </c>
      <c r="O91" s="4">
        <f>[1]TruckNumbers!O94</f>
        <v>0</v>
      </c>
      <c r="P91" s="28">
        <f>[1]TruckNumbers!P94</f>
        <v>0</v>
      </c>
      <c r="Q91" s="4">
        <f>[1]TruckNumbers!Q94</f>
        <v>0</v>
      </c>
      <c r="R91" s="4">
        <f>[1]TruckNumbers!R94</f>
        <v>0</v>
      </c>
      <c r="S91" s="4">
        <f>[1]TruckNumbers!S94</f>
        <v>0</v>
      </c>
      <c r="T91" s="4">
        <f>[1]TruckNumbers!T94</f>
        <v>0</v>
      </c>
      <c r="U91">
        <f>[1]TruckNumbers!U94</f>
        <v>0</v>
      </c>
      <c r="V91">
        <f>[1]TruckNumbers!V94</f>
        <v>0</v>
      </c>
      <c r="W91">
        <f>[1]TruckNumbers!W94</f>
        <v>0</v>
      </c>
      <c r="X91">
        <f>[1]TruckNumbers!X94</f>
        <v>0</v>
      </c>
    </row>
    <row r="92" spans="1:24" x14ac:dyDescent="0.2">
      <c r="A92">
        <f>[1]TruckNumbers!A95</f>
        <v>0</v>
      </c>
      <c r="B92">
        <f>[1]TruckNumbers!B95</f>
        <v>0</v>
      </c>
      <c r="C92" s="29">
        <f>[1]TruckNumbers!C95</f>
        <v>0</v>
      </c>
      <c r="D92" s="4">
        <f>[1]TruckNumbers!E95</f>
        <v>0</v>
      </c>
      <c r="E92" s="30">
        <f>[1]TruckNumbers!D95</f>
        <v>0</v>
      </c>
      <c r="F92" s="4">
        <f>[1]TruckNumbers!G95</f>
        <v>0</v>
      </c>
      <c r="G92">
        <f>[1]TruckNumbers!H95</f>
        <v>0</v>
      </c>
      <c r="H92" s="4">
        <f>[1]TruckNumbers!I95</f>
        <v>0</v>
      </c>
      <c r="I92" s="4">
        <f>[1]TruckNumbers!F95</f>
        <v>0</v>
      </c>
      <c r="J92" s="4">
        <f>[1]TruckNumbers!J95</f>
        <v>0</v>
      </c>
      <c r="K92" s="4">
        <f>[1]TruckNumbers!K95</f>
        <v>0</v>
      </c>
      <c r="L92" s="31">
        <f>[1]TruckNumbers!L95</f>
        <v>0</v>
      </c>
      <c r="M92">
        <f>[1]TruckNumbers!M95</f>
        <v>0</v>
      </c>
      <c r="N92">
        <f>[1]TruckNumbers!N95</f>
        <v>0</v>
      </c>
      <c r="O92" s="4">
        <f>[1]TruckNumbers!O95</f>
        <v>0</v>
      </c>
      <c r="P92" s="28">
        <f>[1]TruckNumbers!P95</f>
        <v>0</v>
      </c>
      <c r="Q92" s="4">
        <f>[1]TruckNumbers!Q95</f>
        <v>0</v>
      </c>
      <c r="R92" s="4">
        <f>[1]TruckNumbers!R95</f>
        <v>0</v>
      </c>
      <c r="S92" s="4">
        <f>[1]TruckNumbers!S95</f>
        <v>0</v>
      </c>
      <c r="T92" s="4">
        <f>[1]TruckNumbers!T95</f>
        <v>0</v>
      </c>
      <c r="U92">
        <f>[1]TruckNumbers!U95</f>
        <v>0</v>
      </c>
      <c r="V92">
        <f>[1]TruckNumbers!V95</f>
        <v>0</v>
      </c>
      <c r="W92">
        <f>[1]TruckNumbers!W95</f>
        <v>0</v>
      </c>
      <c r="X92">
        <f>[1]TruckNumbers!X95</f>
        <v>0</v>
      </c>
    </row>
    <row r="93" spans="1:24" x14ac:dyDescent="0.2">
      <c r="A93">
        <f>[1]TruckNumbers!A96</f>
        <v>0</v>
      </c>
      <c r="B93">
        <f>[1]TruckNumbers!B96</f>
        <v>0</v>
      </c>
      <c r="C93" s="29">
        <f>[1]TruckNumbers!C96</f>
        <v>0</v>
      </c>
      <c r="D93" s="4">
        <f>[1]TruckNumbers!E96</f>
        <v>0</v>
      </c>
      <c r="E93" s="30">
        <f>[1]TruckNumbers!D96</f>
        <v>0</v>
      </c>
      <c r="F93" s="4">
        <f>[1]TruckNumbers!G96</f>
        <v>0</v>
      </c>
      <c r="G93">
        <f>[1]TruckNumbers!H96</f>
        <v>0</v>
      </c>
      <c r="H93" s="4">
        <f>[1]TruckNumbers!I96</f>
        <v>0</v>
      </c>
      <c r="I93" s="4">
        <f>[1]TruckNumbers!F96</f>
        <v>0</v>
      </c>
      <c r="J93" s="4">
        <f>[1]TruckNumbers!J96</f>
        <v>0</v>
      </c>
      <c r="K93" s="4">
        <f>[1]TruckNumbers!K96</f>
        <v>0</v>
      </c>
      <c r="L93" s="31">
        <f>[1]TruckNumbers!L96</f>
        <v>0</v>
      </c>
      <c r="M93">
        <f>[1]TruckNumbers!M96</f>
        <v>0</v>
      </c>
      <c r="N93">
        <f>[1]TruckNumbers!N96</f>
        <v>0</v>
      </c>
      <c r="O93" s="4">
        <f>[1]TruckNumbers!O96</f>
        <v>0</v>
      </c>
      <c r="P93" s="28">
        <f>[1]TruckNumbers!P96</f>
        <v>0</v>
      </c>
      <c r="Q93" s="4">
        <f>[1]TruckNumbers!Q96</f>
        <v>0</v>
      </c>
      <c r="R93" s="4">
        <f>[1]TruckNumbers!R96</f>
        <v>0</v>
      </c>
      <c r="S93" s="4">
        <f>[1]TruckNumbers!S96</f>
        <v>0</v>
      </c>
      <c r="T93" s="4">
        <f>[1]TruckNumbers!T96</f>
        <v>0</v>
      </c>
      <c r="U93">
        <f>[1]TruckNumbers!U96</f>
        <v>0</v>
      </c>
      <c r="V93">
        <f>[1]TruckNumbers!V96</f>
        <v>0</v>
      </c>
      <c r="W93">
        <f>[1]TruckNumbers!W96</f>
        <v>0</v>
      </c>
      <c r="X93">
        <f>[1]TruckNumbers!X96</f>
        <v>0</v>
      </c>
    </row>
    <row r="94" spans="1:24" x14ac:dyDescent="0.2">
      <c r="A94">
        <f>[1]TruckNumbers!A97</f>
        <v>0</v>
      </c>
      <c r="B94">
        <f>[1]TruckNumbers!B97</f>
        <v>0</v>
      </c>
      <c r="C94" s="29">
        <f>[1]TruckNumbers!C97</f>
        <v>0</v>
      </c>
      <c r="D94" s="4">
        <f>[1]TruckNumbers!E97</f>
        <v>0</v>
      </c>
      <c r="E94" s="30">
        <f>[1]TruckNumbers!D97</f>
        <v>0</v>
      </c>
      <c r="F94" s="4">
        <f>[1]TruckNumbers!G97</f>
        <v>0</v>
      </c>
      <c r="G94">
        <f>[1]TruckNumbers!H97</f>
        <v>0</v>
      </c>
      <c r="H94" s="4">
        <f>[1]TruckNumbers!I97</f>
        <v>0</v>
      </c>
      <c r="I94" s="4">
        <f>[1]TruckNumbers!F97</f>
        <v>0</v>
      </c>
      <c r="J94" s="4">
        <f>[1]TruckNumbers!J97</f>
        <v>0</v>
      </c>
      <c r="K94" s="4">
        <f>[1]TruckNumbers!K97</f>
        <v>0</v>
      </c>
      <c r="L94" s="31">
        <f>[1]TruckNumbers!L97</f>
        <v>0</v>
      </c>
      <c r="M94">
        <f>[1]TruckNumbers!M97</f>
        <v>0</v>
      </c>
      <c r="N94">
        <f>[1]TruckNumbers!N97</f>
        <v>0</v>
      </c>
      <c r="O94" s="4">
        <f>[1]TruckNumbers!O97</f>
        <v>0</v>
      </c>
      <c r="P94" s="28">
        <f>[1]TruckNumbers!P97</f>
        <v>0</v>
      </c>
      <c r="Q94" s="4">
        <f>[1]TruckNumbers!Q97</f>
        <v>0</v>
      </c>
      <c r="R94" s="4">
        <f>[1]TruckNumbers!R97</f>
        <v>0</v>
      </c>
      <c r="S94" s="4">
        <f>[1]TruckNumbers!S97</f>
        <v>0</v>
      </c>
      <c r="T94" s="4">
        <f>[1]TruckNumbers!T97</f>
        <v>0</v>
      </c>
      <c r="U94">
        <f>[1]TruckNumbers!U97</f>
        <v>0</v>
      </c>
      <c r="V94">
        <f>[1]TruckNumbers!V97</f>
        <v>0</v>
      </c>
      <c r="W94">
        <f>[1]TruckNumbers!W97</f>
        <v>0</v>
      </c>
      <c r="X94">
        <f>[1]TruckNumbers!X97</f>
        <v>0</v>
      </c>
    </row>
    <row r="95" spans="1:24" x14ac:dyDescent="0.2">
      <c r="A95">
        <f>[1]TruckNumbers!A98</f>
        <v>0</v>
      </c>
      <c r="B95">
        <f>[1]TruckNumbers!B98</f>
        <v>0</v>
      </c>
      <c r="C95" s="29">
        <f>[1]TruckNumbers!C98</f>
        <v>0</v>
      </c>
      <c r="D95" s="4">
        <f>[1]TruckNumbers!E98</f>
        <v>0</v>
      </c>
      <c r="E95" s="30">
        <f>[1]TruckNumbers!D98</f>
        <v>0</v>
      </c>
      <c r="F95" s="4">
        <f>[1]TruckNumbers!G98</f>
        <v>0</v>
      </c>
      <c r="G95">
        <f>[1]TruckNumbers!H98</f>
        <v>0</v>
      </c>
      <c r="H95" s="4">
        <f>[1]TruckNumbers!I98</f>
        <v>0</v>
      </c>
      <c r="I95" s="4">
        <f>[1]TruckNumbers!F98</f>
        <v>0</v>
      </c>
      <c r="J95" s="4">
        <f>[1]TruckNumbers!J98</f>
        <v>0</v>
      </c>
      <c r="K95" s="4">
        <f>[1]TruckNumbers!K98</f>
        <v>0</v>
      </c>
      <c r="L95" s="31">
        <f>[1]TruckNumbers!L98</f>
        <v>0</v>
      </c>
      <c r="M95">
        <f>[1]TruckNumbers!M98</f>
        <v>0</v>
      </c>
      <c r="N95">
        <f>[1]TruckNumbers!N98</f>
        <v>0</v>
      </c>
      <c r="O95" s="4">
        <f>[1]TruckNumbers!O98</f>
        <v>0</v>
      </c>
      <c r="P95" s="28">
        <f>[1]TruckNumbers!P98</f>
        <v>0</v>
      </c>
      <c r="Q95" s="4">
        <f>[1]TruckNumbers!Q98</f>
        <v>0</v>
      </c>
      <c r="R95" s="4">
        <f>[1]TruckNumbers!R98</f>
        <v>0</v>
      </c>
      <c r="S95" s="4">
        <f>[1]TruckNumbers!S98</f>
        <v>0</v>
      </c>
      <c r="T95" s="4">
        <f>[1]TruckNumbers!T98</f>
        <v>0</v>
      </c>
      <c r="U95">
        <f>[1]TruckNumbers!U98</f>
        <v>0</v>
      </c>
      <c r="V95">
        <f>[1]TruckNumbers!V98</f>
        <v>0</v>
      </c>
      <c r="W95">
        <f>[1]TruckNumbers!W98</f>
        <v>0</v>
      </c>
      <c r="X95">
        <f>[1]TruckNumbers!X98</f>
        <v>0</v>
      </c>
    </row>
    <row r="96" spans="1:24" x14ac:dyDescent="0.2">
      <c r="A96">
        <f>[1]TruckNumbers!A99</f>
        <v>0</v>
      </c>
      <c r="B96">
        <f>[1]TruckNumbers!B99</f>
        <v>0</v>
      </c>
      <c r="C96" s="29">
        <f>[1]TruckNumbers!C99</f>
        <v>0</v>
      </c>
      <c r="D96" s="4">
        <f>[1]TruckNumbers!E99</f>
        <v>0</v>
      </c>
      <c r="E96" s="30">
        <f>[1]TruckNumbers!D99</f>
        <v>0</v>
      </c>
      <c r="F96" s="4">
        <f>[1]TruckNumbers!G99</f>
        <v>0</v>
      </c>
      <c r="G96">
        <f>[1]TruckNumbers!H99</f>
        <v>0</v>
      </c>
      <c r="H96" s="4">
        <f>[1]TruckNumbers!I99</f>
        <v>0</v>
      </c>
      <c r="I96" s="4">
        <f>[1]TruckNumbers!F99</f>
        <v>0</v>
      </c>
      <c r="J96" s="4">
        <f>[1]TruckNumbers!J99</f>
        <v>0</v>
      </c>
      <c r="K96" s="4">
        <f>[1]TruckNumbers!K99</f>
        <v>0</v>
      </c>
      <c r="L96" s="31">
        <f>[1]TruckNumbers!L99</f>
        <v>0</v>
      </c>
      <c r="M96">
        <f>[1]TruckNumbers!M99</f>
        <v>0</v>
      </c>
      <c r="N96">
        <f>[1]TruckNumbers!N99</f>
        <v>0</v>
      </c>
      <c r="O96" s="4">
        <f>[1]TruckNumbers!O99</f>
        <v>0</v>
      </c>
      <c r="P96" s="28">
        <f>[1]TruckNumbers!P99</f>
        <v>0</v>
      </c>
      <c r="Q96" s="4">
        <f>[1]TruckNumbers!Q99</f>
        <v>0</v>
      </c>
      <c r="R96" s="4">
        <f>[1]TruckNumbers!R99</f>
        <v>0</v>
      </c>
      <c r="S96" s="4">
        <f>[1]TruckNumbers!S99</f>
        <v>0</v>
      </c>
      <c r="T96" s="4">
        <f>[1]TruckNumbers!T99</f>
        <v>0</v>
      </c>
      <c r="U96">
        <f>[1]TruckNumbers!U99</f>
        <v>0</v>
      </c>
      <c r="V96">
        <f>[1]TruckNumbers!V99</f>
        <v>0</v>
      </c>
      <c r="W96">
        <f>[1]TruckNumbers!W99</f>
        <v>0</v>
      </c>
      <c r="X96">
        <f>[1]TruckNumbers!X99</f>
        <v>0</v>
      </c>
    </row>
    <row r="97" spans="1:24" x14ac:dyDescent="0.2">
      <c r="A97">
        <f>[1]TruckNumbers!A100</f>
        <v>0</v>
      </c>
      <c r="B97">
        <f>[1]TruckNumbers!B100</f>
        <v>0</v>
      </c>
      <c r="C97" s="29">
        <f>[1]TruckNumbers!C100</f>
        <v>0</v>
      </c>
      <c r="D97" s="4">
        <f>[1]TruckNumbers!E100</f>
        <v>0</v>
      </c>
      <c r="E97" s="30">
        <f>[1]TruckNumbers!D100</f>
        <v>0</v>
      </c>
      <c r="F97" s="4">
        <f>[1]TruckNumbers!G100</f>
        <v>0</v>
      </c>
      <c r="G97">
        <f>[1]TruckNumbers!H100</f>
        <v>0</v>
      </c>
      <c r="H97" s="4">
        <f>[1]TruckNumbers!I100</f>
        <v>0</v>
      </c>
      <c r="I97" s="4">
        <f>[1]TruckNumbers!F100</f>
        <v>0</v>
      </c>
      <c r="J97" s="4">
        <f>[1]TruckNumbers!J100</f>
        <v>0</v>
      </c>
      <c r="K97" s="4">
        <f>[1]TruckNumbers!K100</f>
        <v>0</v>
      </c>
      <c r="L97" s="31">
        <f>[1]TruckNumbers!L100</f>
        <v>0</v>
      </c>
      <c r="M97">
        <f>[1]TruckNumbers!M100</f>
        <v>0</v>
      </c>
      <c r="N97">
        <f>[1]TruckNumbers!N100</f>
        <v>0</v>
      </c>
      <c r="O97" s="4">
        <f>[1]TruckNumbers!O100</f>
        <v>0</v>
      </c>
      <c r="P97" s="28">
        <f>[1]TruckNumbers!P100</f>
        <v>0</v>
      </c>
      <c r="Q97" s="4">
        <f>[1]TruckNumbers!Q100</f>
        <v>0</v>
      </c>
      <c r="R97" s="4">
        <f>[1]TruckNumbers!R100</f>
        <v>0</v>
      </c>
      <c r="S97" s="4">
        <f>[1]TruckNumbers!S100</f>
        <v>0</v>
      </c>
      <c r="T97" s="4">
        <f>[1]TruckNumbers!T100</f>
        <v>0</v>
      </c>
      <c r="U97">
        <f>[1]TruckNumbers!U100</f>
        <v>0</v>
      </c>
      <c r="V97">
        <f>[1]TruckNumbers!V100</f>
        <v>0</v>
      </c>
      <c r="W97">
        <f>[1]TruckNumbers!W100</f>
        <v>0</v>
      </c>
      <c r="X97">
        <f>[1]TruckNumbers!X100</f>
        <v>0</v>
      </c>
    </row>
    <row r="98" spans="1:24" x14ac:dyDescent="0.2">
      <c r="A98">
        <f>[1]TruckNumbers!A101</f>
        <v>0</v>
      </c>
      <c r="B98">
        <f>[1]TruckNumbers!B101</f>
        <v>0</v>
      </c>
      <c r="C98" s="29">
        <f>[1]TruckNumbers!C101</f>
        <v>0</v>
      </c>
      <c r="D98" s="4">
        <f>[1]TruckNumbers!E101</f>
        <v>0</v>
      </c>
      <c r="E98" s="30">
        <f>[1]TruckNumbers!D101</f>
        <v>0</v>
      </c>
      <c r="F98" s="4">
        <f>[1]TruckNumbers!G101</f>
        <v>0</v>
      </c>
      <c r="G98">
        <f>[1]TruckNumbers!H101</f>
        <v>0</v>
      </c>
      <c r="H98" s="4">
        <f>[1]TruckNumbers!I101</f>
        <v>0</v>
      </c>
      <c r="I98" s="4">
        <f>[1]TruckNumbers!F101</f>
        <v>0</v>
      </c>
      <c r="J98" s="4">
        <f>[1]TruckNumbers!J101</f>
        <v>0</v>
      </c>
      <c r="K98" s="4">
        <f>[1]TruckNumbers!K101</f>
        <v>0</v>
      </c>
      <c r="L98" s="31">
        <f>[1]TruckNumbers!L101</f>
        <v>0</v>
      </c>
      <c r="M98">
        <f>[1]TruckNumbers!M101</f>
        <v>0</v>
      </c>
      <c r="N98">
        <f>[1]TruckNumbers!N101</f>
        <v>0</v>
      </c>
      <c r="O98" s="4">
        <f>[1]TruckNumbers!O101</f>
        <v>0</v>
      </c>
      <c r="P98" s="28">
        <f>[1]TruckNumbers!P101</f>
        <v>0</v>
      </c>
      <c r="Q98" s="4">
        <f>[1]TruckNumbers!Q101</f>
        <v>0</v>
      </c>
      <c r="R98" s="4">
        <f>[1]TruckNumbers!R101</f>
        <v>0</v>
      </c>
      <c r="S98" s="4">
        <f>[1]TruckNumbers!S101</f>
        <v>0</v>
      </c>
      <c r="T98" s="4">
        <f>[1]TruckNumbers!T101</f>
        <v>0</v>
      </c>
      <c r="U98">
        <f>[1]TruckNumbers!U101</f>
        <v>0</v>
      </c>
      <c r="V98">
        <f>[1]TruckNumbers!V101</f>
        <v>0</v>
      </c>
      <c r="W98">
        <f>[1]TruckNumbers!W101</f>
        <v>0</v>
      </c>
      <c r="X98">
        <f>[1]TruckNumbers!X101</f>
        <v>0</v>
      </c>
    </row>
    <row r="99" spans="1:24" x14ac:dyDescent="0.2">
      <c r="A99">
        <f>[1]TruckNumbers!A102</f>
        <v>0</v>
      </c>
      <c r="B99">
        <f>[1]TruckNumbers!B102</f>
        <v>0</v>
      </c>
      <c r="C99" s="29">
        <f>[1]TruckNumbers!C102</f>
        <v>0</v>
      </c>
      <c r="D99" s="4">
        <f>[1]TruckNumbers!E102</f>
        <v>0</v>
      </c>
      <c r="E99" s="30">
        <f>[1]TruckNumbers!D102</f>
        <v>0</v>
      </c>
      <c r="F99" s="4">
        <f>[1]TruckNumbers!G102</f>
        <v>0</v>
      </c>
      <c r="G99">
        <f>[1]TruckNumbers!H102</f>
        <v>0</v>
      </c>
      <c r="H99" s="4">
        <f>[1]TruckNumbers!I102</f>
        <v>0</v>
      </c>
      <c r="I99" s="4">
        <f>[1]TruckNumbers!F102</f>
        <v>0</v>
      </c>
      <c r="J99" s="4">
        <f>[1]TruckNumbers!J102</f>
        <v>0</v>
      </c>
      <c r="K99" s="4">
        <f>[1]TruckNumbers!K102</f>
        <v>0</v>
      </c>
      <c r="L99" s="31">
        <f>[1]TruckNumbers!L102</f>
        <v>0</v>
      </c>
      <c r="M99">
        <f>[1]TruckNumbers!M102</f>
        <v>0</v>
      </c>
      <c r="N99">
        <f>[1]TruckNumbers!N102</f>
        <v>0</v>
      </c>
      <c r="O99" s="4">
        <f>[1]TruckNumbers!O102</f>
        <v>0</v>
      </c>
      <c r="P99" s="28">
        <f>[1]TruckNumbers!P102</f>
        <v>0</v>
      </c>
      <c r="Q99" s="4">
        <f>[1]TruckNumbers!Q102</f>
        <v>0</v>
      </c>
      <c r="R99" s="4">
        <f>[1]TruckNumbers!R102</f>
        <v>0</v>
      </c>
      <c r="S99" s="4">
        <f>[1]TruckNumbers!S102</f>
        <v>0</v>
      </c>
      <c r="T99" s="4">
        <f>[1]TruckNumbers!T102</f>
        <v>0</v>
      </c>
      <c r="U99">
        <f>[1]TruckNumbers!U102</f>
        <v>0</v>
      </c>
      <c r="V99">
        <f>[1]TruckNumbers!V102</f>
        <v>0</v>
      </c>
      <c r="W99">
        <f>[1]TruckNumbers!W102</f>
        <v>0</v>
      </c>
      <c r="X99">
        <f>[1]TruckNumbers!X102</f>
        <v>0</v>
      </c>
    </row>
    <row r="100" spans="1:24" x14ac:dyDescent="0.2">
      <c r="A100">
        <f>[1]TruckNumbers!A103</f>
        <v>0</v>
      </c>
      <c r="B100">
        <f>[1]TruckNumbers!B103</f>
        <v>0</v>
      </c>
      <c r="C100" s="29">
        <f>[1]TruckNumbers!C103</f>
        <v>0</v>
      </c>
      <c r="D100" s="4">
        <f>[1]TruckNumbers!E103</f>
        <v>0</v>
      </c>
      <c r="E100" s="30">
        <f>[1]TruckNumbers!D103</f>
        <v>0</v>
      </c>
      <c r="F100" s="4">
        <f>[1]TruckNumbers!G103</f>
        <v>0</v>
      </c>
      <c r="G100">
        <f>[1]TruckNumbers!H103</f>
        <v>0</v>
      </c>
      <c r="H100" s="4">
        <f>[1]TruckNumbers!I103</f>
        <v>0</v>
      </c>
      <c r="I100" s="4">
        <f>[1]TruckNumbers!F103</f>
        <v>0</v>
      </c>
      <c r="J100" s="4">
        <f>[1]TruckNumbers!J103</f>
        <v>0</v>
      </c>
      <c r="K100" s="4">
        <f>[1]TruckNumbers!K103</f>
        <v>0</v>
      </c>
      <c r="L100" s="31">
        <f>[1]TruckNumbers!L103</f>
        <v>0</v>
      </c>
      <c r="M100">
        <f>[1]TruckNumbers!M103</f>
        <v>0</v>
      </c>
      <c r="N100">
        <f>[1]TruckNumbers!N103</f>
        <v>0</v>
      </c>
      <c r="O100" s="4">
        <f>[1]TruckNumbers!O103</f>
        <v>0</v>
      </c>
      <c r="P100" s="28">
        <f>[1]TruckNumbers!P103</f>
        <v>0</v>
      </c>
      <c r="Q100" s="4">
        <f>[1]TruckNumbers!Q103</f>
        <v>0</v>
      </c>
      <c r="R100" s="4">
        <f>[1]TruckNumbers!R103</f>
        <v>0</v>
      </c>
      <c r="S100" s="4">
        <f>[1]TruckNumbers!S103</f>
        <v>0</v>
      </c>
      <c r="T100" s="4">
        <f>[1]TruckNumbers!T103</f>
        <v>0</v>
      </c>
      <c r="U100">
        <f>[1]TruckNumbers!U103</f>
        <v>0</v>
      </c>
      <c r="V100">
        <f>[1]TruckNumbers!V103</f>
        <v>0</v>
      </c>
      <c r="W100">
        <f>[1]TruckNumbers!W103</f>
        <v>0</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187</v>
      </c>
    </row>
    <row r="3" spans="1:12" x14ac:dyDescent="0.2">
      <c r="A3">
        <f>A2*(1+E3/100*E5)</f>
        <v>89373.292748692678</v>
      </c>
      <c r="B3" t="s">
        <v>188</v>
      </c>
      <c r="E3">
        <v>8.99</v>
      </c>
      <c r="F3" t="s">
        <v>185</v>
      </c>
    </row>
    <row r="4" spans="1:12" x14ac:dyDescent="0.2">
      <c r="E4">
        <v>1</v>
      </c>
      <c r="F4" t="s">
        <v>186</v>
      </c>
    </row>
    <row r="5" spans="1:12" x14ac:dyDescent="0.2">
      <c r="A5">
        <v>441.88</v>
      </c>
      <c r="B5" t="s">
        <v>194</v>
      </c>
      <c r="E5">
        <f>(E8-E7)/365.25</f>
        <v>7.0362765229295006</v>
      </c>
      <c r="F5" t="s">
        <v>190</v>
      </c>
    </row>
    <row r="6" spans="1:12" x14ac:dyDescent="0.2">
      <c r="A6">
        <f>A5*2</f>
        <v>883.76</v>
      </c>
      <c r="B6" t="s">
        <v>182</v>
      </c>
    </row>
    <row r="7" spans="1:12" x14ac:dyDescent="0.2">
      <c r="A7">
        <f>A6/30.5</f>
        <v>28.975737704918032</v>
      </c>
      <c r="B7" t="s">
        <v>184</v>
      </c>
      <c r="E7" s="13">
        <v>45703</v>
      </c>
      <c r="F7" t="s">
        <v>193</v>
      </c>
    </row>
    <row r="8" spans="1:12" x14ac:dyDescent="0.2">
      <c r="E8" s="13">
        <v>48273</v>
      </c>
      <c r="F8" t="s">
        <v>192</v>
      </c>
    </row>
    <row r="9" spans="1:12" x14ac:dyDescent="0.2">
      <c r="A9">
        <f>A3/E5/12/2</f>
        <v>529.24116693352789</v>
      </c>
      <c r="B9" t="s">
        <v>195</v>
      </c>
      <c r="K9" s="13"/>
      <c r="L9" s="13"/>
    </row>
    <row r="10" spans="1:12" x14ac:dyDescent="0.2">
      <c r="A10">
        <f>A9*2</f>
        <v>1058.4823338670558</v>
      </c>
      <c r="B10" t="s">
        <v>196</v>
      </c>
      <c r="E10">
        <f>E5/12</f>
        <v>0.58635637691079168</v>
      </c>
      <c r="F10" t="s">
        <v>189</v>
      </c>
    </row>
    <row r="11" spans="1:12" x14ac:dyDescent="0.2">
      <c r="A11">
        <f>A10/30.5</f>
        <v>34.704338815313307</v>
      </c>
      <c r="B11" t="s">
        <v>197</v>
      </c>
    </row>
    <row r="12" spans="1:12" x14ac:dyDescent="0.2">
      <c r="C12" t="s">
        <v>101</v>
      </c>
      <c r="E12">
        <f>A3-A2</f>
        <v>34629.072748692677</v>
      </c>
      <c r="F12" t="s">
        <v>191</v>
      </c>
      <c r="G12" s="13"/>
      <c r="H12" s="13"/>
    </row>
    <row r="13" spans="1:12" x14ac:dyDescent="0.2">
      <c r="A13">
        <f>A3/A11</f>
        <v>2575.2772073921969</v>
      </c>
      <c r="B13" t="s">
        <v>100</v>
      </c>
      <c r="C13" t="s">
        <v>102</v>
      </c>
    </row>
    <row r="14" spans="1:12" x14ac:dyDescent="0.2">
      <c r="A14">
        <f>A3/A10</f>
        <v>84.435318275154003</v>
      </c>
      <c r="B14" t="s">
        <v>181</v>
      </c>
    </row>
    <row r="15" spans="1:12" x14ac:dyDescent="0.2">
      <c r="A15">
        <f>A14/12</f>
        <v>7.0362765229295006</v>
      </c>
      <c r="B15" t="s">
        <v>183</v>
      </c>
    </row>
    <row r="17" spans="2:3" x14ac:dyDescent="0.2">
      <c r="B17" s="13">
        <v>45703</v>
      </c>
      <c r="C17" t="s">
        <v>198</v>
      </c>
    </row>
    <row r="18" spans="2:3" x14ac:dyDescent="0.2">
      <c r="B18" s="13">
        <v>48273</v>
      </c>
      <c r="C18" t="s">
        <v>199</v>
      </c>
    </row>
    <row r="20" spans="2:3" x14ac:dyDescent="0.2">
      <c r="B20" s="13">
        <v>45703</v>
      </c>
      <c r="C20" t="s">
        <v>200</v>
      </c>
    </row>
    <row r="21" spans="2:3" x14ac:dyDescent="0.2">
      <c r="B21" s="13">
        <f>B20+A3/A6*30.5</f>
        <v>48787.418200456152</v>
      </c>
      <c r="C21" t="s">
        <v>201</v>
      </c>
    </row>
    <row r="23" spans="2:3" x14ac:dyDescent="0.2">
      <c r="B23">
        <f>B21-B18</f>
        <v>514.41820045615168</v>
      </c>
      <c r="C23" t="s">
        <v>202</v>
      </c>
    </row>
    <row r="24" spans="2:3" x14ac:dyDescent="0.2">
      <c r="B24">
        <f>B23/365.25</f>
        <v>1.4084002750339539</v>
      </c>
      <c r="C24" t="s">
        <v>203</v>
      </c>
    </row>
    <row r="26" spans="2:3" x14ac:dyDescent="0.2">
      <c r="B26">
        <f>A3-A2</f>
        <v>34629.072748692677</v>
      </c>
      <c r="C26" t="s">
        <v>204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180</v>
      </c>
      <c r="B2">
        <v>2346.75</v>
      </c>
      <c r="C2">
        <v>2346.75</v>
      </c>
    </row>
    <row r="3" spans="1:5" x14ac:dyDescent="0.2">
      <c r="A3" t="s">
        <v>180</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278</v>
      </c>
      <c r="I1" t="s">
        <v>279</v>
      </c>
      <c r="J1" t="s">
        <v>281</v>
      </c>
      <c r="K1" t="s">
        <v>280</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2025-06-15T21:40:21Z</dcterms:modified>
</cp:coreProperties>
</file>